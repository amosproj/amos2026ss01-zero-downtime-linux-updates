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<sst xmlns="http://schemas.openxmlformats.org/spreadsheetml/2006/main" count="522" uniqueCount="369">
  <si>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</si>
  <si>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</si>
  <si>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</si>
  <si>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</si>
  <si>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</si>
  <si>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</si>
  <si>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</si>
  <si>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</si>
  <si>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</si>
  <si>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</si>
  <si>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</si>
  <si>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</si>
  <si>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</si>
  <si>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</si>
  <si>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</si>
  <si>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</si>
  <si>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</si>
  <si>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</si>
  <si>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</si>
  <si>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</si>
  <si>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</si>
  <si>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</si>
  <si>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</si>
  <si>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</si>
  <si>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</si>
  <si>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</si>
  <si>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</si>
  <si>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</si>
  <si>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</si>
  <si>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</si>
  <si>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</si>
  <si>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</si>
  <si>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</si>
  <si>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</si>
  <si>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</si>
  <si>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</si>
  <si>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</si>
  <si>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</si>
  <si>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</si>
  <si>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</si>
  <si>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</si>
  <si>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</si>
  <si>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</si>
  <si>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</si>
  <si>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</si>
  <si>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</si>
  <si>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</si>
  <si>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</si>
  <si>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</si>
  <si>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</si>
  <si>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</si>
  <si>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</si>
  <si>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</si>
  <si>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</si>
  <si>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</si>
  <si>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</si>
  <si>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</si>
  <si>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</si>
  <si>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</si>
  <si>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</si>
  <si>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</si>
  <si>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</si>
  <si>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</si>
  <si>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</si>
  <si>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</si>
  <si>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</si>
  <si>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</si>
  <si>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</si>
  <si>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</si>
  <si>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</si>
  <si>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</si>
  <si>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</si>
  <si>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</si>
  <si>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</si>
  <si>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</si>
  <si>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</si>
  <si>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</si>
  <si>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</si>
  <si>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</si>
  <si>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</si>
  <si>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</si>
  <si>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</si>
  <si>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</si>
  <si>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</si>
  <si>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</si>
  <si>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</si>
  <si>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</si>
  <si>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</si>
  <si>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</si>
  <si>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</si>
  <si>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</si>
  <si>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</si>
  <si>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</si>
  <si>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</si>
  <si>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</si>
  <si>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</si>
  <si>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</si>
  <si>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</si>
  <si>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</si>
  <si>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</si>
  <si>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</si>
  <si>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</si>
  <si>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</si>
  <si>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</si>
  <si>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</si>
  <si>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</si>
  <si>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</si>
  <si>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</si>
  <si>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</si>
  <si>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</si>
  <si>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</si>
  <si>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</si>
  <si>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</si>
  <si>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</si>
  <si>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</si>
  <si>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</si>
  <si>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</si>
  <si>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</si>
  <si>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</si>
  <si>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</si>
  <si>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</si>
  <si>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</si>
  <si>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</si>
  <si>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</si>
  <si>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</si>
  <si>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</si>
  <si>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</si>
  <si>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</si>
  <si>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</si>
  <si>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</si>
  <si>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</si>
  <si>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</si>
  <si>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</si>
  <si>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</si>
  <si>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</si>
  <si>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</si>
  <si>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</si>
  <si>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</si>
  <si>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</si>
  <si>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</si>
  <si>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</si>
  <si>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</si>
  <si>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</si>
  <si>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</si>
  <si>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</si>
  <si>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</si>
  <si>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</si>
  <si>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</si>
  <si>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</si>
  <si>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</si>
  <si>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</si>
  <si>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</si>
  <si>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</si>
  <si>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</si>
  <si>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</si>
  <si>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</si>
  <si>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</si>
  <si>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</si>
  <si>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</si>
  <si>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</si>
  <si>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</si>
  <si>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</si>
  <si>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</si>
  <si>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</si>
  <si>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</si>
  <si>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</si>
  <si>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</si>
  <si>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</si>
  <si>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</si>
  <si>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</si>
  <si>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</si>
  <si>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</si>
  <si>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</si>
  <si>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</si>
  <si>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</si>
  <si>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</si>
  <si>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</si>
  <si>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</si>
  <si>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</si>
  <si>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</si>
  <si>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</si>
  <si>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</si>
  <si>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</si>
  <si>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</si>
  <si>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</si>
  <si>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</si>
  <si>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</si>
  <si>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</si>
  <si>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</si>
  <si>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</si>
  <si>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</si>
  <si>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</si>
  <si>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</si>
  <si>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</si>
  <si>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</si>
  <si>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</si>
  <si>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</si>
  <si>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</si>
  <si>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</si>
  <si>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</si>
  <si>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</si>
  <si>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</si>
  <si>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</si>
  <si>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</si>
  <si>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</si>
  <si>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</si>
  <si>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</si>
  <si>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</si>
  <si>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</si>
  <si>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</si>
  <si>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</si>
  <si>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</si>
  <si>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</si>
  <si>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</si>
  <si>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</si>
  <si>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</si>
  <si>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</si>
  <si>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</si>
  <si>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</si>
  <si>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</si>
  <si>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</si>
  <si>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</si>
  <si>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</si>
  <si>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</si>
  <si>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progress</t>
  </si>
  <si>
    <t>Create Integration tests</t>
  </si>
  <si>
    <t>Authentication for User API</t>
  </si>
  <si>
    <t>Research: Solution for storing time sensitive data</t>
  </si>
  <si>
    <t>Provide device logging function for storing logs in database</t>
  </si>
  <si>
    <t>in progress</t>
  </si>
  <si>
    <t>TPM-based Device Indentity Verification at Edge IPC-Cloud API</t>
  </si>
  <si>
    <t>Log timestamp and user information for database changes</t>
  </si>
  <si>
    <t>Monitor and Mange Podman Containers</t>
  </si>
  <si>
    <t>Create API for time sensitive data</t>
  </si>
  <si>
    <t>Store App Config in databse</t>
  </si>
  <si>
    <t>Store Podman logs in database</t>
  </si>
  <si>
    <t>Store Device Logs in Database</t>
  </si>
  <si>
    <t>Stream device information for debugging</t>
  </si>
  <si>
    <t>Stream Podman application logs</t>
  </si>
  <si>
    <t>Create Demo day slide</t>
  </si>
  <si>
    <t>Create Demo video</t>
  </si>
  <si>
    <t>Update Post-Booting Health checks</t>
  </si>
  <si>
    <t>API for uploading TPM/ID pairs</t>
  </si>
  <si>
    <t>App Config Injector env config/mount paths to App Stack Controller</t>
  </si>
  <si>
    <t>Create Final Demo in Cooperation with POs</t>
  </si>
  <si>
    <t>Check Project running as inteded</t>
  </si>
  <si>
    <t>Databse: Only show valid image+OS versions</t>
  </si>
  <si>
    <t>Cloud Backend Containerization</t>
  </si>
  <si>
    <t>Finalize user, (technical) design, and build/deploy documentation</t>
  </si>
  <si>
    <t>Update SBOM</t>
  </si>
  <si>
    <t>Annotate Code</t>
  </si>
  <si>
    <t>Create Handover Document for Weber</t>
  </si>
  <si>
    <t>Cleanup Project</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</si>
  <si>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</si>
  <si>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</si>
  <si>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</si>
  <si>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</si>
  <si>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</si>
  <si>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</si>
  <si>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</si>
  <si>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</si>
  <si>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</si>
  <si>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</si>
  <si>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</si>
  <si>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</si>
  <si>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</si>
  <si>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</si>
  <si>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</si>
  <si>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</si>
  <si>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</si>
  <si>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</si>
  <si>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</si>
  <si>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</si>
  <si>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</si>
  <si>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</si>
  <si>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</si>
  <si>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</si>
  <si>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</si>
  <si>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</si>
  <si>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</si>
  <si>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</si>
  <si>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</si>
  <si>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</si>
  <si>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</si>
  <si>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</si>
  <si>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</si>
  <si>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</si>
  <si>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</si>
  <si>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</si>
  <si>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</si>
  <si>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</si>
  <si>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</si>
  <si>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</si>
  <si>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</si>
  <si>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</si>
  <si>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OS</t>
  </si>
  <si>
    <t>Fedora Linux</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</si>
  <si>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</si>
  <si>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</si>
  <si>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</si>
  <si>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</si>
  <si>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</si>
  <si>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</si>
  <si>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</si>
  <si>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</si>
  <si>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</si>
  <si>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</si>
  <si>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</si>
  <si>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</si>
  <si>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</si>
  <si>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</si>
  <si>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</si>
  <si>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</si>
  <si>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</si>
  <si>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</si>
  <si>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</si>
  <si>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</si>
  <si>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</si>
  <si>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</si>
  <si>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</si>
  <si>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</si>
  <si>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</si>
  <si>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</si>
  <si>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</si>
  <si>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</si>
  <si>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</si>
  <si>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</si>
  <si>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</si>
  <si>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</si>
  <si>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</si>
  <si>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</si>
  <si>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</si>
  <si>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</si>
  <si>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</si>
  <si>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</si>
  <si>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</si>
  <si>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</si>
  <si>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</si>
  <si>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</si>
  <si>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</si>
  <si>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</si>
  <si>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</si>
  <si>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</si>
  <si>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</si>
  <si>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</si>
  <si>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</si>
  <si>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</si>
  <si>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</si>
  <si>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</si>
  <si>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</si>
  <si>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</si>
  <si>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</si>
  <si>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</si>
  <si>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</si>
  <si>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</si>
  <si>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</si>
  <si>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</si>
  <si>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</si>
  <si>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</si>
  <si>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</si>
  <si>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</si>
  <si>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</si>
  <si>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jsonwebtoken</t>
  </si>
  <si>
    <t>10.4.0</t>
  </si>
  <si>
    <t>https://github.com/Keats/jsonwebtoken</t>
  </si>
  <si>
    <t>tss_esapi</t>
  </si>
  <si>
    <t>7.7.0</t>
  </si>
  <si>
    <t>Apache 2.0</t>
  </si>
  <si>
    <t>https://github.com/parallaxsecond/rust-tss-esapi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</si>
</sst>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
      <color rgb="FF000000"/>
      <name val="Monospace"/>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8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4" fontId="13" numFmtId="0" xfId="0" applyAlignment="1" applyFont="1">
      <alignment horizontal="left" shrinkToFit="0" vertical="bottom" wrapText="0"/>
    </xf>
    <xf borderId="0" fillId="4" fontId="12" numFmtId="0" xfId="0" applyAlignment="1" applyFont="1">
      <alignment readingOrder="0" shrinkToFit="0" vertical="bottom" wrapText="1"/>
    </xf>
    <xf borderId="0" fillId="4" fontId="11" numFmtId="0" xfId="0" applyAlignment="1" applyFont="1">
      <alignment horizontal="left" shrinkToFit="0" vertical="bottom" wrapText="1"/>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0" fillId="4" fontId="11" numFmtId="0" xfId="0" applyAlignment="1" applyFont="1">
      <alignment shrinkToFit="0" vertical="bottom" wrapText="0"/>
    </xf>
    <xf borderId="0" fillId="4" fontId="2" numFmtId="0" xfId="0" applyAlignment="1" applyFont="1">
      <alignment shrinkToFit="0" wrapText="1"/>
    </xf>
    <xf borderId="0" fillId="4" fontId="14" numFmtId="0" xfId="0" applyAlignment="1" applyFont="1">
      <alignment readingOrder="0" shrinkToFit="0" vertical="bottom" wrapText="1"/>
    </xf>
    <xf borderId="0" fillId="4" fontId="11" numFmtId="0" xfId="0" applyAlignment="1" applyFont="1">
      <alignment readingOrder="0" shrinkToFit="0" vertical="bottom" wrapText="0"/>
    </xf>
    <xf borderId="0" fillId="4" fontId="12" numFmtId="0" xfId="0" applyAlignment="1" applyFont="1">
      <alignment horizontal="left" readingOrder="0" shrinkToFit="0" vertical="bottom" wrapText="0"/>
    </xf>
    <xf borderId="0" fillId="4" fontId="16" numFmtId="0" xfId="0" applyAlignment="1" applyFont="1">
      <alignment readingOrder="0" shrinkToFit="0" wrapText="0"/>
    </xf>
    <xf borderId="0" fillId="4" fontId="2" numFmtId="0" xfId="0" applyAlignment="1" applyFont="1">
      <alignment readingOrder="0" shrinkToFit="0" wrapText="1"/>
    </xf>
    <xf borderId="0" fillId="4" fontId="2" numFmtId="0" xfId="0" applyAlignment="1" applyFont="1">
      <alignment readingOrder="0" shrinkToFit="0" wrapText="0"/>
    </xf>
    <xf borderId="0" fillId="4" fontId="0" numFmtId="0" xfId="0" applyAlignment="1" applyFont="1">
      <alignment readingOrder="0" shrinkToFit="0" wrapText="1"/>
    </xf>
    <xf borderId="0" fillId="4" fontId="18" numFmtId="0" xfId="0" applyAlignment="1" applyFont="1">
      <alignment readingOrder="0" shrinkToFit="0" wrapText="1"/>
    </xf>
    <xf borderId="0" fillId="4" fontId="2" numFmtId="0" xfId="0" applyAlignment="1" applyFont="1">
      <alignment shrinkToFit="0" wrapText="1"/>
    </xf>
    <xf borderId="0" fillId="4" fontId="11" numFmtId="0" xfId="0" applyAlignment="1" applyFont="1">
      <alignment readingOrder="0" shrinkToFit="0" vertical="bottom"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xf borderId="0" fillId="2" fontId="2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solidFill>
                <a:srgbClr val="000000"/>
              </a:solid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269202512"/>
        <c:axId val="1406455088"/>
      </c:barChart>
      <c:catAx>
        <c:axId val="26920251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406455088"/>
      </c:catAx>
      <c:valAx>
        <c:axId val="1406455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6920251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1747241803"/>
        <c:axId val="705314383"/>
      </c:barChart>
      <c:catAx>
        <c:axId val="17472418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05314383"/>
      </c:catAx>
      <c:valAx>
        <c:axId val="705314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Stroypoints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47241803"/>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 Project Burndown Chart</a:t>
            </a:r>
          </a:p>
        </c:rich>
      </c:tx>
      <c:overlay val="0"/>
    </c:title>
    <c:plotArea>
      <c:layout/>
      <c:barChart>
        <c:barDir val="col"/>
        <c:ser>
          <c:idx val="0"/>
          <c:order val="0"/>
          <c:tx>
            <c:v>Estimated Remaining</c:v>
          </c:tx>
          <c:spPr>
            <a:solidFill>
              <a:srgbClr val="4285F4"/>
            </a:solidFill>
            <a:ln cmpd="sng">
              <a:solidFill>
                <a:srgbClr val="000000"/>
              </a:solidFill>
            </a:ln>
          </c:spPr>
          <c:cat>
            <c:strRef>
              <c:f>'Final Project Release plan'!$A$9:$A$15</c:f>
            </c:strRef>
          </c:cat>
          <c:val>
            <c:numRef>
              <c:f>'Final Project Release plan'!$E$9:$E$15</c:f>
              <c:numCache/>
            </c:numRef>
          </c:val>
        </c:ser>
        <c:ser>
          <c:idx val="1"/>
          <c:order val="1"/>
          <c:tx>
            <c:v>Real Remaining</c:v>
          </c:tx>
          <c:spPr>
            <a:solidFill>
              <a:srgbClr val="DB4437"/>
            </a:solidFill>
            <a:ln cmpd="sng">
              <a:solidFill>
                <a:srgbClr val="000000"/>
              </a:solidFill>
            </a:ln>
          </c:spPr>
          <c:cat>
            <c:strRef>
              <c:f>'Final Project Release plan'!$A$9:$A$15</c:f>
            </c:strRef>
          </c:cat>
          <c:val>
            <c:numRef>
              <c:f>'Final Project Release plan'!$G$9:$G$15</c:f>
              <c:numCache/>
            </c:numRef>
          </c:val>
        </c:ser>
        <c:axId val="1533349315"/>
        <c:axId val="1350206009"/>
      </c:barChart>
      <c:catAx>
        <c:axId val="153334931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350206009"/>
      </c:catAx>
      <c:valAx>
        <c:axId val="1350206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33349315"/>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65"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48"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hyperlink" Target="https://github.com/parallaxsecond/rust-tss-esapi" TargetMode="External"/><Relationship Id="rId14" Type="http://schemas.openxmlformats.org/officeDocument/2006/relationships/hyperlink" Target="https://github.com/Keats/jsonwebtoken" TargetMode="External"/><Relationship Id="rId16" Type="http://schemas.openxmlformats.org/officeDocument/2006/relationships/drawing" Target="../drawings/drawing17.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18" Type="http://schemas.openxmlformats.org/officeDocument/2006/relationships/table" Target="../tables/table15.xm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'Final Project Release plan'!B16</f>
        <v/>
      </c>
    </row>
    <row r="16">
      <c r="A16" s="54">
        <f t="shared" si="1"/>
        <v>15</v>
      </c>
      <c r="B16" s="2" t="str">
        <f>'Final Project Release plan'!B17</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6</v>
      </c>
    </row>
    <row r="10">
      <c r="A10" s="54">
        <f t="shared" si="1"/>
        <v>9</v>
      </c>
      <c r="B10" s="2">
        <f>'Final Project Release plan'!F11</f>
        <v>0</v>
      </c>
    </row>
    <row r="11">
      <c r="A11" s="54">
        <f t="shared" si="1"/>
        <v>10</v>
      </c>
      <c r="B11" s="2">
        <f>'Final Project Release plan'!F12</f>
        <v>0</v>
      </c>
    </row>
    <row r="12">
      <c r="A12" s="54">
        <f t="shared" si="1"/>
        <v>11</v>
      </c>
      <c r="B12" s="2">
        <f>'Final Project Release plan'!F13</f>
        <v>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sum(D8:D17)</f>
        <v>117</v>
      </c>
      <c r="E5" s="69">
        <f>D5</f>
        <v>117</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SUM(D21:D26)</f>
        <v>15</v>
      </c>
      <c r="E9" s="69">
        <f>$D$5-D9</f>
        <v>102</v>
      </c>
      <c r="F9" s="69">
        <f>SUM(F21:F26)</f>
        <v>11</v>
      </c>
      <c r="G9" s="69">
        <f>$D$5-F9</f>
        <v>106</v>
      </c>
    </row>
    <row r="10">
      <c r="A10" s="127">
        <v>8.0</v>
      </c>
      <c r="B10" s="48" t="s">
        <v>211</v>
      </c>
      <c r="C10" s="106"/>
      <c r="D10" s="109">
        <f>SUM(D28:D31)</f>
        <v>19</v>
      </c>
      <c r="E10" s="109">
        <f t="shared" ref="E10:E15" si="1">E9-D10</f>
        <v>83</v>
      </c>
      <c r="F10" s="109">
        <f>SUM(F28:F31)</f>
        <v>6</v>
      </c>
      <c r="G10" s="109">
        <f t="shared" ref="G10:G15" si="2">G9-F10</f>
        <v>100</v>
      </c>
    </row>
    <row r="11">
      <c r="A11" s="108">
        <f>A10+1</f>
        <v>9</v>
      </c>
      <c r="B11" s="118" t="s">
        <v>212</v>
      </c>
      <c r="C11" s="43"/>
      <c r="D11" s="69">
        <f>SUM(D33:D37)</f>
        <v>21</v>
      </c>
      <c r="E11" s="109">
        <f t="shared" si="1"/>
        <v>62</v>
      </c>
      <c r="F11" s="69">
        <f>SUM(F33:F37)</f>
        <v>0</v>
      </c>
      <c r="G11" s="109">
        <f t="shared" si="2"/>
        <v>100</v>
      </c>
    </row>
    <row r="12">
      <c r="A12" s="127">
        <v>10.0</v>
      </c>
      <c r="B12" s="118" t="s">
        <v>213</v>
      </c>
      <c r="C12" s="106"/>
      <c r="D12" s="106">
        <f>SUM(D39:D43)</f>
        <v>16</v>
      </c>
      <c r="E12" s="109">
        <f t="shared" si="1"/>
        <v>46</v>
      </c>
      <c r="F12" s="69">
        <f t="shared" ref="F12:F13" si="3">sum(F34:F44)</f>
        <v>0</v>
      </c>
      <c r="G12" s="109">
        <f t="shared" si="2"/>
        <v>100</v>
      </c>
    </row>
    <row r="13">
      <c r="A13" s="126">
        <v>11.0</v>
      </c>
      <c r="B13" s="118" t="s">
        <v>214</v>
      </c>
      <c r="C13" s="43"/>
      <c r="D13" s="43">
        <f>SUM(D45:D49)</f>
        <v>16</v>
      </c>
      <c r="E13" s="109">
        <f t="shared" si="1"/>
        <v>30</v>
      </c>
      <c r="F13" s="69">
        <f t="shared" si="3"/>
        <v>0</v>
      </c>
      <c r="G13" s="109">
        <f t="shared" si="2"/>
        <v>100</v>
      </c>
    </row>
    <row r="14">
      <c r="A14" s="127">
        <v>12.0</v>
      </c>
      <c r="B14" s="118" t="s">
        <v>215</v>
      </c>
      <c r="C14" s="43"/>
      <c r="D14" s="43">
        <f>SUM(D51:D54)</f>
        <v>15</v>
      </c>
      <c r="E14" s="109">
        <f t="shared" si="1"/>
        <v>15</v>
      </c>
      <c r="F14" s="69">
        <f t="shared" ref="F14:F15" si="4">sum(F38:F46)</f>
        <v>0</v>
      </c>
      <c r="G14" s="109">
        <f t="shared" si="2"/>
        <v>100</v>
      </c>
    </row>
    <row r="15">
      <c r="A15" s="126">
        <v>13.0</v>
      </c>
      <c r="B15" s="118" t="s">
        <v>216</v>
      </c>
      <c r="C15" s="43"/>
      <c r="D15" s="43">
        <f>SUM(D56:D60)</f>
        <v>15</v>
      </c>
      <c r="E15" s="109">
        <f t="shared" si="1"/>
        <v>0</v>
      </c>
      <c r="F15" s="69">
        <f t="shared" si="4"/>
        <v>0</v>
      </c>
      <c r="G15" s="109">
        <f t="shared" si="2"/>
        <v>100</v>
      </c>
    </row>
    <row r="16">
      <c r="A16" s="127"/>
      <c r="B16" s="43"/>
      <c r="C16" s="43"/>
      <c r="D16" s="43"/>
      <c r="E16" s="43"/>
      <c r="F16" s="43"/>
      <c r="G16" s="43"/>
    </row>
    <row r="17">
      <c r="A17" s="108"/>
      <c r="B17" s="43"/>
      <c r="C17" s="43"/>
      <c r="D17" s="43"/>
      <c r="E17" s="43"/>
      <c r="F17" s="43"/>
      <c r="G17" s="43"/>
    </row>
    <row r="18">
      <c r="A18" s="81" t="s">
        <v>180</v>
      </c>
      <c r="B18" s="82"/>
      <c r="C18" s="83"/>
      <c r="D18" s="83"/>
      <c r="E18" s="83"/>
      <c r="F18" s="83"/>
      <c r="G18" s="83"/>
    </row>
    <row r="19">
      <c r="A19" s="108"/>
      <c r="B19" s="43"/>
      <c r="C19" s="43"/>
      <c r="D19" s="43"/>
      <c r="E19" s="43"/>
      <c r="F19" s="43"/>
      <c r="G19" s="43"/>
    </row>
    <row r="20">
      <c r="A20" s="128">
        <f t="shared" ref="A20:B20" si="5">A9</f>
        <v>7</v>
      </c>
      <c r="B20" s="43" t="str">
        <f t="shared" si="5"/>
        <v>Enhance database functionality and logging</v>
      </c>
      <c r="C20" s="43"/>
      <c r="D20" s="43"/>
      <c r="E20" s="43"/>
      <c r="F20" s="43"/>
      <c r="G20" s="43"/>
    </row>
    <row r="21">
      <c r="A21" s="108"/>
      <c r="B21" s="114"/>
      <c r="C21" s="129" t="s">
        <v>217</v>
      </c>
      <c r="D21" s="129">
        <v>3.0</v>
      </c>
      <c r="E21" s="43"/>
      <c r="F21" s="129">
        <v>3.0</v>
      </c>
      <c r="G21" s="43"/>
    </row>
    <row r="22">
      <c r="A22" s="108"/>
      <c r="B22" s="114"/>
      <c r="C22" s="129" t="s">
        <v>218</v>
      </c>
      <c r="D22" s="129">
        <v>3.0</v>
      </c>
      <c r="E22" s="43"/>
      <c r="F22" s="129">
        <v>2.0</v>
      </c>
      <c r="G22" s="43"/>
    </row>
    <row r="23">
      <c r="A23" s="108"/>
      <c r="B23" s="114"/>
      <c r="C23" s="129" t="s">
        <v>219</v>
      </c>
      <c r="D23" s="129">
        <v>1.0</v>
      </c>
      <c r="E23" s="43"/>
      <c r="F23" s="129">
        <v>1.0</v>
      </c>
      <c r="G23" s="43"/>
    </row>
    <row r="24">
      <c r="A24" s="130"/>
      <c r="B24" s="35"/>
      <c r="C24" s="131" t="s">
        <v>220</v>
      </c>
      <c r="D24" s="132">
        <v>3.0</v>
      </c>
      <c r="E24" s="133"/>
      <c r="F24" s="129">
        <v>1.0</v>
      </c>
      <c r="G24" s="133"/>
    </row>
    <row r="25">
      <c r="A25" s="108"/>
      <c r="B25" s="43"/>
      <c r="C25" s="129" t="s">
        <v>221</v>
      </c>
      <c r="D25" s="132">
        <v>3.0</v>
      </c>
      <c r="E25" s="43"/>
      <c r="F25" s="129">
        <v>2.0</v>
      </c>
      <c r="G25" s="43"/>
    </row>
    <row r="26">
      <c r="A26" s="108"/>
      <c r="B26" s="43"/>
      <c r="C26" s="131" t="s">
        <v>222</v>
      </c>
      <c r="D26" s="132">
        <v>2.0</v>
      </c>
      <c r="E26" s="114"/>
      <c r="F26" s="129">
        <v>2.0</v>
      </c>
      <c r="G26" s="114"/>
    </row>
    <row r="27">
      <c r="A27" s="128">
        <f t="shared" ref="A27:B27" si="6">A10</f>
        <v>8</v>
      </c>
      <c r="B27" s="43" t="str">
        <f t="shared" si="6"/>
        <v>Integration Testing and Test Environment</v>
      </c>
      <c r="C27" s="43"/>
      <c r="D27" s="69"/>
      <c r="E27" s="43"/>
      <c r="F27" s="69"/>
      <c r="G27" s="43"/>
    </row>
    <row r="28">
      <c r="A28" s="134"/>
      <c r="B28" s="43"/>
      <c r="C28" s="118" t="s">
        <v>223</v>
      </c>
      <c r="D28" s="129">
        <v>8.0</v>
      </c>
      <c r="E28" s="43"/>
      <c r="F28" s="126" t="s">
        <v>224</v>
      </c>
      <c r="G28" s="43"/>
    </row>
    <row r="29">
      <c r="A29" s="108"/>
      <c r="B29" s="114"/>
      <c r="C29" s="135" t="s">
        <v>225</v>
      </c>
      <c r="D29" s="129">
        <v>5.0</v>
      </c>
      <c r="E29" s="43"/>
      <c r="F29" s="111" t="s">
        <v>224</v>
      </c>
      <c r="G29" s="43"/>
    </row>
    <row r="30">
      <c r="A30" s="108"/>
      <c r="B30" s="43"/>
      <c r="C30" s="136" t="s">
        <v>226</v>
      </c>
      <c r="D30" s="121">
        <v>3.0</v>
      </c>
      <c r="E30" s="114"/>
      <c r="F30" s="137">
        <v>3.0</v>
      </c>
      <c r="G30" s="114"/>
    </row>
    <row r="31">
      <c r="A31" s="108"/>
      <c r="B31" s="43"/>
      <c r="C31" s="136" t="s">
        <v>227</v>
      </c>
      <c r="D31" s="132">
        <v>3.0</v>
      </c>
      <c r="E31" s="114"/>
      <c r="F31" s="137">
        <v>3.0</v>
      </c>
      <c r="G31" s="114"/>
    </row>
    <row r="32">
      <c r="A32" s="111">
        <v>9.0</v>
      </c>
      <c r="B32" s="43" t="str">
        <f>B11</f>
        <v>Save device and application Logs in Database</v>
      </c>
      <c r="C32" s="43"/>
      <c r="D32" s="69"/>
      <c r="E32" s="43"/>
      <c r="F32" s="69"/>
      <c r="G32" s="43"/>
    </row>
    <row r="33">
      <c r="A33" s="111"/>
      <c r="B33" s="134"/>
      <c r="C33" s="136" t="s">
        <v>228</v>
      </c>
      <c r="D33" s="132">
        <v>2.0</v>
      </c>
      <c r="E33" s="114"/>
      <c r="F33" s="137" t="s">
        <v>229</v>
      </c>
      <c r="G33" s="114"/>
    </row>
    <row r="34">
      <c r="A34" s="126"/>
      <c r="B34" s="114"/>
      <c r="C34" s="118" t="s">
        <v>230</v>
      </c>
      <c r="D34" s="129">
        <v>5.0</v>
      </c>
      <c r="E34" s="43"/>
      <c r="F34" s="129" t="s">
        <v>229</v>
      </c>
      <c r="G34" s="43"/>
    </row>
    <row r="35">
      <c r="A35" s="126"/>
      <c r="B35" s="43"/>
      <c r="C35" s="136" t="s">
        <v>231</v>
      </c>
      <c r="D35" s="132">
        <v>3.0</v>
      </c>
      <c r="E35" s="114"/>
      <c r="F35" s="131" t="s">
        <v>229</v>
      </c>
      <c r="G35" s="114"/>
    </row>
    <row r="36">
      <c r="A36" s="126"/>
      <c r="B36" s="43"/>
      <c r="C36" s="131" t="s">
        <v>232</v>
      </c>
      <c r="D36" s="132">
        <v>8.0</v>
      </c>
      <c r="E36" s="114"/>
      <c r="F36" s="131" t="s">
        <v>229</v>
      </c>
      <c r="G36" s="114"/>
    </row>
    <row r="37">
      <c r="A37" s="126"/>
      <c r="B37" s="43"/>
      <c r="C37" s="131" t="s">
        <v>233</v>
      </c>
      <c r="D37" s="132">
        <v>3.0</v>
      </c>
      <c r="E37" s="114"/>
      <c r="F37" s="131" t="s">
        <v>229</v>
      </c>
      <c r="G37" s="114"/>
    </row>
    <row r="38">
      <c r="A38" s="126">
        <v>10.0</v>
      </c>
      <c r="B38" s="43" t="str">
        <f>B12</f>
        <v>Provide Logs and Streaming for Users</v>
      </c>
      <c r="C38" s="43"/>
      <c r="D38" s="69"/>
      <c r="E38" s="43"/>
      <c r="F38" s="43"/>
      <c r="G38" s="43"/>
    </row>
    <row r="39">
      <c r="A39" s="126"/>
      <c r="B39" s="43"/>
      <c r="C39" s="138" t="s">
        <v>234</v>
      </c>
      <c r="D39" s="121">
        <v>3.0</v>
      </c>
      <c r="E39" s="114"/>
      <c r="F39" s="114"/>
      <c r="G39" s="114"/>
    </row>
    <row r="40">
      <c r="A40" s="126"/>
      <c r="B40" s="43"/>
      <c r="C40" s="138" t="s">
        <v>235</v>
      </c>
      <c r="D40" s="121">
        <v>3.0</v>
      </c>
      <c r="E40" s="43"/>
      <c r="F40" s="43"/>
      <c r="G40" s="43"/>
    </row>
    <row r="41">
      <c r="A41" s="108"/>
      <c r="B41" s="43"/>
      <c r="C41" s="139" t="s">
        <v>236</v>
      </c>
      <c r="D41" s="121">
        <v>2.0</v>
      </c>
      <c r="E41" s="43"/>
      <c r="F41" s="43"/>
      <c r="G41" s="43"/>
    </row>
    <row r="42">
      <c r="A42" s="108"/>
      <c r="B42" s="43"/>
      <c r="C42" s="140" t="s">
        <v>237</v>
      </c>
      <c r="D42" s="121">
        <v>5.0</v>
      </c>
      <c r="E42" s="43"/>
      <c r="F42" s="43"/>
      <c r="G42" s="43"/>
    </row>
    <row r="43">
      <c r="A43" s="108"/>
      <c r="B43" s="43"/>
      <c r="C43" s="118" t="s">
        <v>238</v>
      </c>
      <c r="D43" s="121">
        <v>3.0</v>
      </c>
      <c r="E43" s="43"/>
      <c r="F43" s="43"/>
      <c r="G43" s="43"/>
    </row>
    <row r="44">
      <c r="A44" s="111">
        <v>11.0</v>
      </c>
      <c r="B44" s="43" t="str">
        <f>B13</f>
        <v>First Demo preperations</v>
      </c>
      <c r="C44" s="43"/>
      <c r="D44" s="43"/>
      <c r="E44" s="43"/>
      <c r="F44" s="43"/>
      <c r="G44" s="43"/>
    </row>
    <row r="45">
      <c r="A45" s="111"/>
      <c r="B45" s="43"/>
      <c r="C45" s="140" t="s">
        <v>239</v>
      </c>
      <c r="D45" s="129">
        <v>2.0</v>
      </c>
      <c r="E45" s="43"/>
      <c r="F45" s="43"/>
      <c r="G45" s="43"/>
    </row>
    <row r="46">
      <c r="A46" s="111"/>
      <c r="B46" s="43"/>
      <c r="C46" s="118" t="s">
        <v>240</v>
      </c>
      <c r="D46" s="118">
        <v>3.0</v>
      </c>
      <c r="E46" s="43"/>
      <c r="F46" s="43"/>
      <c r="G46" s="43"/>
    </row>
    <row r="47">
      <c r="A47" s="111"/>
      <c r="B47" s="43"/>
      <c r="C47" s="118" t="s">
        <v>241</v>
      </c>
      <c r="D47" s="129">
        <v>3.0</v>
      </c>
      <c r="E47" s="43"/>
      <c r="F47" s="43"/>
      <c r="G47" s="43"/>
    </row>
    <row r="48">
      <c r="A48" s="111"/>
      <c r="B48" s="129"/>
      <c r="C48" s="17" t="s">
        <v>242</v>
      </c>
      <c r="D48" s="129">
        <v>3.0</v>
      </c>
      <c r="E48" s="43"/>
      <c r="F48" s="43"/>
      <c r="G48" s="43"/>
    </row>
    <row r="49">
      <c r="A49" s="111"/>
      <c r="B49" s="43"/>
      <c r="C49" s="135" t="s">
        <v>243</v>
      </c>
      <c r="D49" s="129">
        <v>5.0</v>
      </c>
      <c r="E49" s="43"/>
      <c r="F49" s="43"/>
      <c r="G49" s="43"/>
    </row>
    <row r="50">
      <c r="A50" s="111">
        <v>12.0</v>
      </c>
      <c r="B50" s="43" t="str">
        <f>B14</f>
        <v>Finalize Project and Demo preperation</v>
      </c>
      <c r="C50" s="43"/>
      <c r="D50" s="43"/>
      <c r="E50" s="43"/>
      <c r="F50" s="43"/>
      <c r="G50" s="43"/>
    </row>
    <row r="51">
      <c r="A51" s="111"/>
      <c r="B51" s="43"/>
      <c r="C51" s="118" t="s">
        <v>244</v>
      </c>
      <c r="D51" s="118">
        <v>5.0</v>
      </c>
      <c r="E51" s="43"/>
      <c r="F51" s="43"/>
      <c r="G51" s="43"/>
    </row>
    <row r="52">
      <c r="A52" s="111"/>
      <c r="B52" s="43"/>
      <c r="C52" s="118" t="s">
        <v>245</v>
      </c>
      <c r="D52" s="129">
        <v>5.0</v>
      </c>
      <c r="E52" s="43"/>
      <c r="F52" s="43"/>
      <c r="G52" s="43"/>
    </row>
    <row r="53">
      <c r="A53" s="111"/>
      <c r="B53" s="43"/>
      <c r="C53" s="129" t="s">
        <v>246</v>
      </c>
      <c r="D53" s="129">
        <v>3.0</v>
      </c>
      <c r="E53" s="43"/>
      <c r="F53" s="43"/>
      <c r="G53" s="43"/>
    </row>
    <row r="54">
      <c r="A54" s="111"/>
      <c r="B54" s="43"/>
      <c r="C54" s="118" t="s">
        <v>247</v>
      </c>
      <c r="D54" s="129">
        <v>2.0</v>
      </c>
      <c r="E54" s="43"/>
      <c r="F54" s="43"/>
      <c r="G54" s="43"/>
    </row>
    <row r="55">
      <c r="A55" s="111">
        <v>13.0</v>
      </c>
      <c r="B55" s="43" t="str">
        <f>B15</f>
        <v>Prepare Handover</v>
      </c>
      <c r="C55" s="43"/>
      <c r="D55" s="43"/>
      <c r="E55" s="43"/>
      <c r="F55" s="43"/>
      <c r="G55" s="43"/>
    </row>
    <row r="56">
      <c r="A56" s="111"/>
      <c r="B56" s="43"/>
      <c r="C56" s="141" t="s">
        <v>248</v>
      </c>
      <c r="D56" s="118">
        <v>2.0</v>
      </c>
      <c r="E56" s="43"/>
      <c r="F56" s="43"/>
      <c r="G56" s="43"/>
    </row>
    <row r="57">
      <c r="A57" s="111"/>
      <c r="B57" s="43"/>
      <c r="C57" s="142" t="s">
        <v>249</v>
      </c>
      <c r="D57" s="129">
        <v>3.0</v>
      </c>
      <c r="E57" s="43"/>
      <c r="F57" s="43"/>
      <c r="G57" s="43"/>
    </row>
    <row r="58">
      <c r="A58" s="111"/>
      <c r="B58" s="43"/>
      <c r="C58" s="118" t="s">
        <v>250</v>
      </c>
      <c r="D58" s="118">
        <v>2.0</v>
      </c>
      <c r="E58" s="43"/>
      <c r="F58" s="43"/>
      <c r="G58" s="43"/>
    </row>
    <row r="59">
      <c r="A59" s="111"/>
      <c r="B59" s="43"/>
      <c r="C59" s="118" t="s">
        <v>251</v>
      </c>
      <c r="D59" s="129">
        <v>5.0</v>
      </c>
      <c r="E59" s="43"/>
      <c r="F59" s="43"/>
      <c r="G59" s="43"/>
    </row>
    <row r="60">
      <c r="A60" s="111"/>
      <c r="B60" s="43"/>
      <c r="C60" s="129" t="s">
        <v>252</v>
      </c>
      <c r="D60" s="129">
        <v>3.0</v>
      </c>
      <c r="E60" s="43"/>
      <c r="F60" s="43"/>
      <c r="G60" s="43"/>
    </row>
    <row r="61">
      <c r="A61" s="134"/>
      <c r="B61" s="134"/>
      <c r="C61" s="134"/>
      <c r="D61" s="134"/>
      <c r="E61" s="43"/>
      <c r="F61" s="43"/>
      <c r="G61" s="43"/>
    </row>
    <row r="62">
      <c r="A62" s="134"/>
      <c r="B62" s="134"/>
      <c r="C62" s="118"/>
      <c r="D62" s="121"/>
      <c r="E62" s="43"/>
      <c r="F62" s="43"/>
      <c r="G62" s="43"/>
    </row>
    <row r="63">
      <c r="A63" s="134"/>
      <c r="B63" s="134"/>
      <c r="D63" s="118"/>
      <c r="E63" s="43"/>
      <c r="F63" s="43"/>
      <c r="G63" s="43"/>
    </row>
    <row r="64">
      <c r="A64" s="143"/>
      <c r="B64" s="143"/>
      <c r="C64" s="96"/>
      <c r="D64" s="144"/>
      <c r="E64" s="76"/>
      <c r="F64" s="76"/>
      <c r="G64" s="76"/>
    </row>
    <row r="65">
      <c r="A65" s="143"/>
      <c r="B65" s="143"/>
      <c r="D65" s="144"/>
      <c r="E65" s="76"/>
      <c r="F65" s="76"/>
      <c r="G65" s="7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29"/>
      <c r="D21" s="129"/>
      <c r="E21" s="43"/>
      <c r="F21" s="118"/>
      <c r="G21" s="43"/>
    </row>
    <row r="22">
      <c r="A22" s="108"/>
      <c r="B22" s="114"/>
      <c r="C22" s="129"/>
      <c r="D22" s="129"/>
      <c r="E22" s="43"/>
      <c r="F22" s="118"/>
      <c r="G22" s="43"/>
    </row>
    <row r="23">
      <c r="A23" s="108"/>
      <c r="B23" s="114"/>
      <c r="C23" s="129"/>
      <c r="D23" s="129"/>
      <c r="E23" s="43"/>
      <c r="F23" s="118"/>
      <c r="G23" s="43"/>
    </row>
    <row r="24">
      <c r="A24" s="104"/>
      <c r="B24" s="145"/>
      <c r="C24" s="146"/>
      <c r="D24" s="147"/>
      <c r="E24" s="105"/>
      <c r="F24" s="118"/>
      <c r="G24" s="105"/>
    </row>
    <row r="25">
      <c r="A25" s="108"/>
      <c r="B25" s="43"/>
      <c r="C25" s="129"/>
      <c r="D25" s="132"/>
      <c r="E25" s="43"/>
      <c r="F25" s="118"/>
      <c r="G25" s="43"/>
    </row>
    <row r="26">
      <c r="A26" s="115"/>
      <c r="B26" s="106"/>
      <c r="C26" s="146"/>
      <c r="D26" s="147"/>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8"/>
      <c r="D39" s="69"/>
      <c r="E39" s="43"/>
      <c r="F39" s="43"/>
      <c r="G39" s="43"/>
    </row>
    <row r="40">
      <c r="A40" s="108"/>
      <c r="B40" s="43"/>
      <c r="C40" s="148"/>
      <c r="D40" s="69"/>
      <c r="E40" s="43"/>
      <c r="F40" s="43"/>
      <c r="G40" s="43"/>
    </row>
    <row r="41">
      <c r="A41" s="108"/>
      <c r="B41" s="43"/>
      <c r="C41" s="149"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50" t="s">
        <v>69</v>
      </c>
      <c r="B1" s="101" t="s">
        <v>253</v>
      </c>
      <c r="C1" s="101" t="s">
        <v>254</v>
      </c>
      <c r="D1" s="151" t="s">
        <v>255</v>
      </c>
    </row>
    <row r="2">
      <c r="A2" s="3"/>
      <c r="B2" s="48" t="s">
        <v>256</v>
      </c>
      <c r="C2" s="3"/>
      <c r="D2" s="3"/>
    </row>
    <row r="3">
      <c r="A3" s="3"/>
      <c r="B3" s="48" t="s">
        <v>257</v>
      </c>
      <c r="C3" s="3"/>
      <c r="D3" s="3"/>
    </row>
    <row r="4">
      <c r="A4" s="3"/>
      <c r="B4" s="48" t="s">
        <v>258</v>
      </c>
      <c r="C4" s="3"/>
      <c r="D4" s="3"/>
    </row>
    <row r="5">
      <c r="A5" s="3"/>
      <c r="B5" s="48" t="s">
        <v>259</v>
      </c>
      <c r="C5" s="3"/>
      <c r="D5" s="3"/>
    </row>
    <row r="6">
      <c r="A6" s="3"/>
      <c r="B6" s="48" t="s">
        <v>260</v>
      </c>
      <c r="C6" s="3"/>
      <c r="D6" s="3"/>
    </row>
    <row r="7">
      <c r="A7" s="3"/>
      <c r="B7" s="48" t="s">
        <v>261</v>
      </c>
      <c r="C7" s="3"/>
      <c r="D7" s="3"/>
    </row>
    <row r="8">
      <c r="A8" s="3"/>
      <c r="B8" s="17" t="s">
        <v>262</v>
      </c>
      <c r="C8" s="3"/>
      <c r="D8" s="3"/>
    </row>
    <row r="9">
      <c r="A9" s="3"/>
      <c r="B9" s="48" t="s">
        <v>263</v>
      </c>
      <c r="C9" s="3"/>
      <c r="D9" s="3"/>
    </row>
    <row r="10">
      <c r="A10" s="3"/>
      <c r="B10" s="17" t="s">
        <v>264</v>
      </c>
      <c r="C10" s="3"/>
      <c r="D10" s="3"/>
    </row>
    <row r="11">
      <c r="A11" s="3"/>
      <c r="B11" s="48" t="s">
        <v>265</v>
      </c>
      <c r="C11" s="3"/>
      <c r="D11" s="3"/>
    </row>
    <row r="12">
      <c r="A12" s="3"/>
      <c r="B12" s="48" t="s">
        <v>266</v>
      </c>
      <c r="C12" s="3"/>
      <c r="D12" s="3"/>
    </row>
    <row r="13">
      <c r="A13" s="3"/>
      <c r="B13" s="48" t="s">
        <v>267</v>
      </c>
      <c r="C13" s="3"/>
      <c r="D13" s="3"/>
    </row>
    <row r="14">
      <c r="A14" s="3"/>
      <c r="C14" s="2" t="s">
        <v>268</v>
      </c>
      <c r="D14" s="3"/>
    </row>
    <row r="15">
      <c r="A15" s="3"/>
      <c r="B15" s="152"/>
      <c r="C15" s="2" t="s">
        <v>269</v>
      </c>
      <c r="D15" s="3"/>
    </row>
    <row r="16">
      <c r="A16" s="3"/>
      <c r="B16" s="48"/>
      <c r="C16" s="2" t="s">
        <v>270</v>
      </c>
      <c r="D16" s="3"/>
    </row>
    <row r="17">
      <c r="A17" s="3"/>
      <c r="B17" s="152"/>
      <c r="D17" s="17" t="s">
        <v>271</v>
      </c>
    </row>
    <row r="18">
      <c r="A18" s="3"/>
      <c r="B18" s="48"/>
      <c r="D18" s="2" t="s">
        <v>272</v>
      </c>
    </row>
    <row r="19">
      <c r="A19" s="3"/>
      <c r="B19" s="152"/>
      <c r="C19" s="2"/>
      <c r="D19" s="17" t="s">
        <v>273</v>
      </c>
    </row>
    <row r="20">
      <c r="A20" s="3"/>
      <c r="B20" s="48"/>
      <c r="D20" s="2" t="s">
        <v>274</v>
      </c>
    </row>
    <row r="21">
      <c r="A21" s="3"/>
      <c r="B21" s="152"/>
      <c r="D21" s="2" t="s">
        <v>275</v>
      </c>
    </row>
    <row r="22">
      <c r="A22" s="3"/>
      <c r="B22" s="48"/>
      <c r="D22" s="17" t="s">
        <v>276</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277</v>
      </c>
      <c r="B1" s="4" t="s">
        <v>278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3" t="str">
        <f>'Project Team'!A1</f>
        <v>Last Name</v>
      </c>
      <c r="B1" s="153" t="str">
        <f>'Project Team'!B1</f>
        <v>First Name</v>
      </c>
      <c r="C1" s="154" t="s">
        <v>279</v>
      </c>
      <c r="D1" s="155"/>
      <c r="E1" s="156"/>
      <c r="F1" s="157"/>
      <c r="G1" s="158"/>
      <c r="H1" s="158"/>
    </row>
    <row r="2">
      <c r="A2" s="159" t="str">
        <f>'Project Team'!A2</f>
        <v>Auer</v>
      </c>
      <c r="B2" s="159" t="str">
        <f>'Project Team'!B2</f>
        <v>Katharina</v>
      </c>
      <c r="C2" s="160">
        <v>0.0</v>
      </c>
      <c r="D2" s="161"/>
      <c r="E2" s="162">
        <f>average(C2:C10)</f>
        <v>0</v>
      </c>
      <c r="F2" s="163" t="str">
        <f>if(stdev(C2:C7) &gt; 0,"NOK", "OK")</f>
        <v>OK</v>
      </c>
      <c r="G2" s="164"/>
      <c r="H2" s="164"/>
    </row>
    <row r="3">
      <c r="A3" s="165" t="str">
        <f t="shared" ref="A3:B3" si="1">#REF!</f>
        <v>#REF!</v>
      </c>
      <c r="B3" s="165" t="str">
        <f t="shared" si="1"/>
        <v>#REF!</v>
      </c>
      <c r="C3" s="160">
        <v>0.0</v>
      </c>
      <c r="D3" s="166"/>
      <c r="G3" s="167"/>
      <c r="H3" s="167"/>
    </row>
    <row r="4">
      <c r="A4" s="159" t="str">
        <f t="shared" ref="A4:B4" si="2">#REF!</f>
        <v>#REF!</v>
      </c>
      <c r="B4" s="159" t="str">
        <f t="shared" si="2"/>
        <v>#REF!</v>
      </c>
      <c r="C4" s="168"/>
      <c r="D4" s="161"/>
      <c r="G4" s="164"/>
      <c r="H4" s="164"/>
    </row>
    <row r="5">
      <c r="A5" s="165" t="str">
        <f t="shared" ref="A5:B5" si="3">#REF!</f>
        <v>#REF!</v>
      </c>
      <c r="B5" s="165" t="str">
        <f t="shared" si="3"/>
        <v>#REF!</v>
      </c>
      <c r="C5" s="169"/>
      <c r="D5" s="170"/>
      <c r="E5" s="170"/>
      <c r="F5" s="170"/>
      <c r="G5" s="167"/>
      <c r="H5" s="167"/>
    </row>
    <row r="6">
      <c r="A6" s="159" t="str">
        <f t="shared" ref="A6:B6" si="4">#REF!</f>
        <v>#REF!</v>
      </c>
      <c r="B6" s="159" t="str">
        <f t="shared" si="4"/>
        <v>#REF!</v>
      </c>
      <c r="C6" s="168"/>
      <c r="D6" s="171"/>
      <c r="E6" s="172">
        <v>0.0</v>
      </c>
      <c r="F6" s="173" t="s">
        <v>280</v>
      </c>
      <c r="G6" s="164"/>
      <c r="H6" s="164"/>
    </row>
    <row r="7">
      <c r="A7" s="165" t="str">
        <f t="shared" ref="A7:B7" si="5">#REF!</f>
        <v>#REF!</v>
      </c>
      <c r="B7" s="165" t="str">
        <f t="shared" si="5"/>
        <v>#REF!</v>
      </c>
      <c r="C7" s="168"/>
      <c r="D7" s="170"/>
      <c r="E7" s="172">
        <v>1.0</v>
      </c>
      <c r="F7" s="173" t="s">
        <v>281</v>
      </c>
      <c r="G7" s="167"/>
      <c r="H7" s="167"/>
    </row>
    <row r="8">
      <c r="A8" s="159" t="str">
        <f t="shared" ref="A8:B8" si="6">#REF!</f>
        <v>#REF!</v>
      </c>
      <c r="B8" s="159" t="str">
        <f t="shared" si="6"/>
        <v>#REF!</v>
      </c>
      <c r="C8" s="169"/>
      <c r="D8" s="171"/>
      <c r="E8" s="172">
        <v>2.0</v>
      </c>
      <c r="F8" s="173" t="s">
        <v>282</v>
      </c>
      <c r="G8" s="164"/>
      <c r="H8" s="164"/>
    </row>
    <row r="9">
      <c r="A9" s="165" t="str">
        <f t="shared" ref="A9:B9" si="7">#REF!</f>
        <v>#REF!</v>
      </c>
      <c r="B9" s="165" t="str">
        <f t="shared" si="7"/>
        <v>#REF!</v>
      </c>
      <c r="C9" s="169"/>
      <c r="D9" s="170"/>
      <c r="E9" s="172">
        <v>3.0</v>
      </c>
      <c r="F9" s="173" t="s">
        <v>283</v>
      </c>
      <c r="G9" s="167"/>
      <c r="H9" s="167"/>
    </row>
    <row r="10">
      <c r="A10" s="159" t="str">
        <f t="shared" ref="A10:B10" si="8">#REF!</f>
        <v>#REF!</v>
      </c>
      <c r="B10" s="159" t="str">
        <f t="shared" si="8"/>
        <v>#REF!</v>
      </c>
      <c r="C10" s="169"/>
      <c r="D10" s="171"/>
      <c r="E10" s="172">
        <v>5.0</v>
      </c>
      <c r="F10" s="173" t="s">
        <v>284</v>
      </c>
      <c r="G10" s="164"/>
      <c r="H10" s="164"/>
    </row>
    <row r="11">
      <c r="A11" s="165"/>
      <c r="B11" s="165"/>
      <c r="C11" s="168"/>
      <c r="D11" s="170"/>
      <c r="E11" s="172">
        <v>8.0</v>
      </c>
      <c r="F11" s="173" t="s">
        <v>285</v>
      </c>
      <c r="G11" s="167"/>
      <c r="H11" s="167"/>
    </row>
    <row r="12">
      <c r="A12" s="159"/>
      <c r="B12" s="159"/>
      <c r="C12" s="168"/>
      <c r="D12" s="171"/>
      <c r="E12" s="172">
        <v>13.0</v>
      </c>
      <c r="F12" s="173" t="s">
        <v>286</v>
      </c>
      <c r="G12" s="164"/>
      <c r="H12" s="164"/>
    </row>
    <row r="13">
      <c r="A13" s="165"/>
      <c r="B13" s="165"/>
      <c r="C13" s="170"/>
      <c r="D13" s="170"/>
      <c r="E13" s="170"/>
      <c r="F13" s="170"/>
      <c r="G13" s="167"/>
      <c r="H13" s="167"/>
    </row>
    <row r="14">
      <c r="A14" s="174" t="s">
        <v>287</v>
      </c>
      <c r="B14" s="175"/>
      <c r="C14" s="175"/>
      <c r="D14" s="175"/>
      <c r="E14" s="175"/>
      <c r="F14" s="175"/>
      <c r="G14" s="175"/>
      <c r="H14" s="175"/>
    </row>
    <row r="15">
      <c r="A15" s="68"/>
      <c r="B15" s="68"/>
      <c r="C15" s="68"/>
      <c r="D15" s="68"/>
      <c r="E15" s="68"/>
      <c r="F15" s="68"/>
      <c r="G15" s="68"/>
      <c r="H15" s="68"/>
    </row>
    <row r="16">
      <c r="A16" s="176" t="s">
        <v>288</v>
      </c>
      <c r="B16" s="177"/>
      <c r="C16" s="177"/>
      <c r="D16" s="177"/>
      <c r="E16" s="177"/>
      <c r="F16" s="177"/>
      <c r="G16" s="177"/>
      <c r="H16" s="177"/>
    </row>
    <row r="17">
      <c r="A17" s="178" t="s">
        <v>289</v>
      </c>
      <c r="B17" s="68"/>
      <c r="C17" s="68"/>
      <c r="D17" s="68"/>
      <c r="E17" s="68"/>
      <c r="F17" s="68"/>
      <c r="G17" s="68"/>
      <c r="H17" s="68"/>
    </row>
    <row r="18">
      <c r="A18" s="176" t="s">
        <v>290</v>
      </c>
      <c r="B18" s="177"/>
      <c r="C18" s="177"/>
      <c r="D18" s="177"/>
      <c r="E18" s="177"/>
      <c r="F18" s="177"/>
      <c r="G18" s="177"/>
      <c r="H18" s="177"/>
    </row>
    <row r="19">
      <c r="A19" s="68"/>
      <c r="B19" s="68"/>
      <c r="C19" s="68"/>
      <c r="D19" s="68"/>
      <c r="E19" s="68"/>
      <c r="F19" s="68"/>
      <c r="G19" s="68"/>
      <c r="H19" s="68"/>
    </row>
    <row r="20">
      <c r="A20" s="177"/>
      <c r="B20" s="177"/>
      <c r="C20" s="177"/>
      <c r="D20" s="177"/>
      <c r="E20" s="177"/>
      <c r="F20" s="177"/>
      <c r="G20" s="177"/>
      <c r="H20" s="17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291</v>
      </c>
      <c r="C1" s="4" t="s">
        <v>292</v>
      </c>
      <c r="D1" s="4" t="s">
        <v>293</v>
      </c>
      <c r="E1" s="4" t="s">
        <v>294</v>
      </c>
      <c r="F1" s="4" t="s">
        <v>76</v>
      </c>
    </row>
    <row r="2">
      <c r="A2" s="2">
        <v>1.0</v>
      </c>
      <c r="B2" s="17" t="s">
        <v>295</v>
      </c>
      <c r="C2" s="17" t="s">
        <v>296</v>
      </c>
      <c r="D2" s="54">
        <v>44.0</v>
      </c>
      <c r="E2" s="2" t="s">
        <v>297</v>
      </c>
      <c r="F2" s="3"/>
    </row>
    <row r="3">
      <c r="A3" s="2">
        <v>2.0</v>
      </c>
      <c r="B3" s="17" t="s">
        <v>298</v>
      </c>
      <c r="C3" s="17" t="s">
        <v>299</v>
      </c>
      <c r="D3" s="2" t="s">
        <v>300</v>
      </c>
      <c r="E3" s="2" t="s">
        <v>301</v>
      </c>
      <c r="F3" s="3"/>
    </row>
    <row r="4">
      <c r="A4" s="2">
        <v>3.0</v>
      </c>
      <c r="B4" s="2" t="s">
        <v>302</v>
      </c>
      <c r="C4" s="2" t="s">
        <v>303</v>
      </c>
      <c r="D4" s="2" t="s">
        <v>300</v>
      </c>
      <c r="E4" s="2" t="s">
        <v>301</v>
      </c>
      <c r="F4" s="3"/>
    </row>
    <row r="5">
      <c r="A5" s="2">
        <v>4.0</v>
      </c>
      <c r="B5" s="2" t="s">
        <v>304</v>
      </c>
      <c r="C5" s="2" t="s">
        <v>305</v>
      </c>
      <c r="D5" s="2" t="s">
        <v>300</v>
      </c>
      <c r="E5" s="2" t="s">
        <v>301</v>
      </c>
      <c r="F5" s="3"/>
    </row>
    <row r="6">
      <c r="A6" s="2">
        <v>5.0</v>
      </c>
      <c r="B6" s="2" t="s">
        <v>306</v>
      </c>
      <c r="C6" s="2" t="s">
        <v>307</v>
      </c>
      <c r="D6" s="2" t="s">
        <v>300</v>
      </c>
      <c r="E6" s="2" t="s">
        <v>301</v>
      </c>
      <c r="F6" s="3"/>
    </row>
    <row r="7">
      <c r="A7" s="2">
        <v>6.0</v>
      </c>
      <c r="B7" s="2" t="s">
        <v>308</v>
      </c>
      <c r="C7" s="2" t="s">
        <v>309</v>
      </c>
      <c r="D7" s="2" t="s">
        <v>310</v>
      </c>
      <c r="E7" s="2" t="s">
        <v>301</v>
      </c>
      <c r="F7" s="3"/>
    </row>
    <row r="8">
      <c r="A8" s="2">
        <v>7.0</v>
      </c>
      <c r="B8" s="2" t="s">
        <v>311</v>
      </c>
      <c r="C8" s="2" t="s">
        <v>312</v>
      </c>
      <c r="D8" s="2" t="s">
        <v>313</v>
      </c>
      <c r="E8" s="2" t="s">
        <v>313</v>
      </c>
      <c r="F8" s="3"/>
    </row>
    <row r="9">
      <c r="A9" s="2">
        <v>8.0</v>
      </c>
      <c r="B9" s="2" t="s">
        <v>314</v>
      </c>
      <c r="C9" s="2" t="s">
        <v>315</v>
      </c>
      <c r="D9" s="2" t="s">
        <v>313</v>
      </c>
      <c r="E9" s="2" t="s">
        <v>313</v>
      </c>
      <c r="F9" s="3"/>
    </row>
    <row r="10">
      <c r="A10" s="2">
        <v>9.0</v>
      </c>
      <c r="B10" s="2" t="s">
        <v>316</v>
      </c>
      <c r="C10" s="2" t="s">
        <v>317</v>
      </c>
      <c r="D10" s="2" t="s">
        <v>313</v>
      </c>
      <c r="E10" s="2" t="s">
        <v>313</v>
      </c>
      <c r="F10" s="3"/>
    </row>
    <row r="11">
      <c r="A11" s="2">
        <v>11.0</v>
      </c>
      <c r="B11" s="2" t="s">
        <v>318</v>
      </c>
      <c r="C11" s="2" t="s">
        <v>319</v>
      </c>
      <c r="D11" s="2" t="s">
        <v>78</v>
      </c>
      <c r="E11" s="2" t="s">
        <v>78</v>
      </c>
      <c r="F11" s="3"/>
    </row>
    <row r="12">
      <c r="A12" s="2">
        <v>12.0</v>
      </c>
      <c r="B12" s="2" t="s">
        <v>320</v>
      </c>
      <c r="C12" s="2" t="s">
        <v>321</v>
      </c>
      <c r="D12" s="2" t="s">
        <v>322</v>
      </c>
      <c r="E12" s="2" t="s">
        <v>301</v>
      </c>
      <c r="F12" s="9" t="s">
        <v>323</v>
      </c>
    </row>
    <row r="13">
      <c r="A13" s="2">
        <v>13.0</v>
      </c>
      <c r="B13" s="2" t="s">
        <v>320</v>
      </c>
      <c r="C13" s="2" t="s">
        <v>324</v>
      </c>
      <c r="D13" s="54" t="s">
        <v>325</v>
      </c>
      <c r="E13" s="2" t="s">
        <v>301</v>
      </c>
      <c r="F13" s="5" t="s">
        <v>326</v>
      </c>
    </row>
    <row r="14">
      <c r="A14" s="2">
        <v>14.0</v>
      </c>
      <c r="B14" s="2" t="s">
        <v>320</v>
      </c>
      <c r="C14" s="2" t="s">
        <v>327</v>
      </c>
      <c r="D14" s="2" t="s">
        <v>328</v>
      </c>
      <c r="E14" s="2" t="s">
        <v>301</v>
      </c>
      <c r="F14" s="5" t="s">
        <v>329</v>
      </c>
    </row>
    <row r="15">
      <c r="A15" s="2">
        <v>15.0</v>
      </c>
      <c r="B15" s="2" t="s">
        <v>320</v>
      </c>
      <c r="C15" s="2" t="s">
        <v>330</v>
      </c>
      <c r="D15" s="2" t="s">
        <v>331</v>
      </c>
      <c r="E15" s="2" t="s">
        <v>301</v>
      </c>
      <c r="F15" s="5" t="s">
        <v>332</v>
      </c>
    </row>
    <row r="16">
      <c r="A16" s="2">
        <v>16.0</v>
      </c>
      <c r="B16" s="2" t="s">
        <v>320</v>
      </c>
      <c r="C16" s="2" t="s">
        <v>333</v>
      </c>
      <c r="D16" s="2" t="s">
        <v>334</v>
      </c>
      <c r="E16" s="2" t="s">
        <v>297</v>
      </c>
      <c r="F16" s="5" t="s">
        <v>335</v>
      </c>
    </row>
    <row r="17">
      <c r="A17" s="2">
        <v>17.0</v>
      </c>
      <c r="B17" s="2" t="s">
        <v>320</v>
      </c>
      <c r="C17" s="2" t="s">
        <v>336</v>
      </c>
      <c r="D17" s="2" t="s">
        <v>337</v>
      </c>
      <c r="E17" s="2" t="s">
        <v>301</v>
      </c>
      <c r="F17" s="9" t="s">
        <v>338</v>
      </c>
    </row>
    <row r="18">
      <c r="A18" s="2">
        <v>18.0</v>
      </c>
      <c r="B18" s="2" t="s">
        <v>320</v>
      </c>
      <c r="C18" s="2" t="s">
        <v>339</v>
      </c>
      <c r="D18" s="2" t="s">
        <v>340</v>
      </c>
      <c r="E18" s="2" t="s">
        <v>301</v>
      </c>
      <c r="F18" s="9" t="s">
        <v>341</v>
      </c>
    </row>
    <row r="19">
      <c r="A19" s="2">
        <v>19.0</v>
      </c>
      <c r="B19" s="2" t="s">
        <v>320</v>
      </c>
      <c r="C19" s="2" t="s">
        <v>342</v>
      </c>
      <c r="D19" s="2" t="s">
        <v>343</v>
      </c>
      <c r="E19" s="2" t="s">
        <v>301</v>
      </c>
      <c r="F19" s="9" t="s">
        <v>344</v>
      </c>
    </row>
    <row r="20">
      <c r="A20" s="2">
        <v>20.0</v>
      </c>
      <c r="B20" s="2" t="s">
        <v>320</v>
      </c>
      <c r="C20" s="2" t="s">
        <v>345</v>
      </c>
      <c r="D20" s="54">
        <v>0.22</v>
      </c>
      <c r="E20" s="2" t="s">
        <v>301</v>
      </c>
      <c r="F20" s="9" t="s">
        <v>346</v>
      </c>
    </row>
    <row r="21">
      <c r="A21" s="2">
        <v>21.0</v>
      </c>
      <c r="B21" s="2" t="s">
        <v>320</v>
      </c>
      <c r="C21" s="2" t="s">
        <v>347</v>
      </c>
      <c r="D21" s="54">
        <v>1.0</v>
      </c>
      <c r="E21" s="2" t="s">
        <v>301</v>
      </c>
      <c r="F21" s="9" t="s">
        <v>348</v>
      </c>
    </row>
    <row r="22">
      <c r="A22" s="2">
        <v>22.0</v>
      </c>
      <c r="B22" s="2" t="s">
        <v>320</v>
      </c>
      <c r="C22" s="2" t="s">
        <v>349</v>
      </c>
      <c r="D22" s="54" t="s">
        <v>350</v>
      </c>
      <c r="E22" s="2" t="s">
        <v>351</v>
      </c>
      <c r="F22" s="9" t="s">
        <v>352</v>
      </c>
    </row>
    <row r="23">
      <c r="A23" s="2">
        <v>23.0</v>
      </c>
      <c r="B23" s="2" t="s">
        <v>320</v>
      </c>
      <c r="C23" s="2" t="s">
        <v>353</v>
      </c>
      <c r="D23" s="54" t="s">
        <v>354</v>
      </c>
      <c r="E23" s="2" t="s">
        <v>301</v>
      </c>
      <c r="F23" s="9" t="s">
        <v>355</v>
      </c>
    </row>
    <row r="24">
      <c r="A24" s="2">
        <v>24.0</v>
      </c>
      <c r="B24" s="2" t="s">
        <v>320</v>
      </c>
      <c r="C24" s="2" t="s">
        <v>356</v>
      </c>
      <c r="D24" s="54">
        <v>0.1</v>
      </c>
      <c r="E24" s="2" t="s">
        <v>301</v>
      </c>
      <c r="F24" s="3"/>
    </row>
    <row r="25">
      <c r="A25" s="2">
        <v>25.0</v>
      </c>
      <c r="B25" s="2" t="s">
        <v>320</v>
      </c>
      <c r="C25" s="2" t="s">
        <v>357</v>
      </c>
      <c r="D25" s="54" t="s">
        <v>358</v>
      </c>
      <c r="E25" s="2" t="s">
        <v>297</v>
      </c>
      <c r="F25" s="3"/>
    </row>
    <row r="26">
      <c r="A26" s="2">
        <v>26.0</v>
      </c>
      <c r="B26" s="2" t="s">
        <v>320</v>
      </c>
      <c r="C26" s="2" t="s">
        <v>359</v>
      </c>
      <c r="D26" s="54" t="s">
        <v>360</v>
      </c>
      <c r="E26" s="2" t="s">
        <v>301</v>
      </c>
      <c r="F26" s="9" t="s">
        <v>361</v>
      </c>
    </row>
    <row r="27">
      <c r="A27" s="2">
        <v>27.0</v>
      </c>
      <c r="B27" s="2" t="s">
        <v>320</v>
      </c>
      <c r="C27" s="2" t="s">
        <v>362</v>
      </c>
      <c r="D27" s="54" t="s">
        <v>363</v>
      </c>
      <c r="E27" s="2" t="s">
        <v>297</v>
      </c>
      <c r="F27" s="9" t="s">
        <v>364</v>
      </c>
    </row>
    <row r="28">
      <c r="A28" s="2">
        <v>28.0</v>
      </c>
      <c r="B28" s="2" t="s">
        <v>320</v>
      </c>
      <c r="C28" s="17" t="s">
        <v>365</v>
      </c>
      <c r="D28" s="179" t="s">
        <v>366</v>
      </c>
      <c r="E28" s="2" t="s">
        <v>367</v>
      </c>
      <c r="F28" s="9" t="s">
        <v>368</v>
      </c>
    </row>
    <row r="29">
      <c r="A29" s="3"/>
      <c r="B29" s="3"/>
      <c r="C29" s="2"/>
      <c r="D29" s="55"/>
      <c r="E29" s="3"/>
      <c r="F29" s="3"/>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sheetData>
  <hyperlinks>
    <hyperlink r:id="rId1" ref="F12"/>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6"/>
    <hyperlink r:id="rId14" ref="F27"/>
    <hyperlink r:id="rId15" ref="F28"/>
  </hyperlinks>
  <drawing r:id="rId16"/>
  <tableParts count="1">
    <tablePart r:id="rId18"/>
  </tableParts>
</worksheet>
</file>