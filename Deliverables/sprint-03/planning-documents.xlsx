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Data" sheetId="1" r:id="rId4"/>
    <sheet state="visible" name="Project Team" sheetId="2" r:id="rId5"/>
    <sheet state="visible" name="Role Assignments" sheetId="3" r:id="rId6"/>
    <sheet state="visible" name="Team Contract" sheetId="4" r:id="rId7"/>
    <sheet state="visible" name="Product Goal" sheetId="5" r:id="rId8"/>
    <sheet state="visible" name="Product Glossary" sheetId="6" r:id="rId9"/>
    <sheet state="visible" name="Sprint Goals" sheetId="7" r:id="rId10"/>
    <sheet state="visible" name="Velocity Tracking" sheetId="8" r:id="rId11"/>
    <sheet state="visible" name="Mid-Project Release plan" sheetId="9" r:id="rId12"/>
    <sheet state="visible" name="Final Project Release plan" sheetId="10" r:id="rId13"/>
    <sheet state="visible" name="Definition of Done" sheetId="11" r:id="rId14"/>
    <sheet state="visible" name="Documentation" sheetId="12" r:id="rId15"/>
    <sheet state="visible" name="Bill of Materials" sheetId="13" r:id="rId16"/>
    <sheet state="visible" name="Planning Poker" sheetId="14" r:id="rId17"/>
  </sheets>
  <definedNames/>
  <calcPr/>
</workbook>
</file>

<file path=xl/sharedStrings.xml><?xml version="1.0" encoding="utf-8"?>
<sst xmlns="http://schemas.openxmlformats.org/spreadsheetml/2006/main" count="339" uniqueCount="216">
  <si>
    <t>Project Name</t>
  </si>
  <si>
    <t>Zero Downtime Linux Updates</t>
  </si>
  <si>
    <t>Online team meeting</t>
  </si>
  <si>
    <t>https://tu-berlin.zoom-x.de/j/2406759921?pwd=ahCbJqSuz3RaljImkCzVHeSgzqLg2k.1</t>
  </si>
  <si>
    <t>Production system (if any)</t>
  </si>
  <si>
    <t>Test system (if any)</t>
  </si>
  <si>
    <t>...</t>
  </si>
  <si>
    <t>GitHub repository</t>
  </si>
  <si>
    <t>https://github.com/amosproj/amos2026ss01-zero-downtime-linux-updates</t>
  </si>
  <si>
    <t>GitHub feature board</t>
  </si>
  <si>
    <t>https://github.com/orgs/amosproj/projects/97</t>
  </si>
  <si>
    <t>GitHub imp-squared backlog</t>
  </si>
  <si>
    <t>https://github.com/orgs/amosproj/projects/101</t>
  </si>
  <si>
    <t>Position of T-shirt logo</t>
  </si>
  <si>
    <t>Upper Torso Right Small</t>
  </si>
  <si>
    <t>Link to logo for black T-shirt</t>
  </si>
  <si>
    <t>https://github.com/amosproj/amos2026ss01-zero-downtime-linux-updates/blob/main/Deliverables/sprint-01/team-logo.svg</t>
  </si>
  <si>
    <t>Link to logo for white T-shirt</t>
  </si>
  <si>
    <t>Additional materials</t>
  </si>
  <si>
    <t>https://discord.gg/cBnpkJKNEu</t>
  </si>
  <si>
    <t>Team maling list</t>
  </si>
  <si>
    <t>oss-amos-proj1@lists.fau.de</t>
  </si>
  <si>
    <t>Happines Index</t>
  </si>
  <si>
    <t>https://happy.uni1.de/login</t>
  </si>
  <si>
    <t>Planning Poker</t>
  </si>
  <si>
    <t>https://planningpokeronline.com/t2YLAtlYDVOOcjJW6gzq/</t>
  </si>
  <si>
    <t>Last Name</t>
  </si>
  <si>
    <t>First Name</t>
  </si>
  <si>
    <t>GitHub User Name</t>
  </si>
  <si>
    <t>Email Address</t>
  </si>
  <si>
    <t>Auer</t>
  </si>
  <si>
    <t>Katharina</t>
  </si>
  <si>
    <t>KathiAurina</t>
  </si>
  <si>
    <t>katharina.auer@fau.de</t>
  </si>
  <si>
    <t>Böhm</t>
  </si>
  <si>
    <t>Luca</t>
  </si>
  <si>
    <t>QW3RAT</t>
  </si>
  <si>
    <t>luca.boehm@fau.de</t>
  </si>
  <si>
    <t>Durand</t>
  </si>
  <si>
    <t>Patrick</t>
  </si>
  <si>
    <t>patridu</t>
  </si>
  <si>
    <t>patrick.durand@fau.de</t>
  </si>
  <si>
    <t>Freymann</t>
  </si>
  <si>
    <t>Jaroslav</t>
  </si>
  <si>
    <t>IFrey</t>
  </si>
  <si>
    <t>jaroslav.freymann@fu-berlin.de</t>
  </si>
  <si>
    <t>Friedrich</t>
  </si>
  <si>
    <t>Jeremias</t>
  </si>
  <si>
    <t>Jerry1098</t>
  </si>
  <si>
    <t>jeremias.friedrich@fau.de</t>
  </si>
  <si>
    <t>Klem</t>
  </si>
  <si>
    <t>Lugga19</t>
  </si>
  <si>
    <t>luca.klem@fau.de</t>
  </si>
  <si>
    <t>Meusling</t>
  </si>
  <si>
    <t>SirGankalot</t>
  </si>
  <si>
    <t>meusling@campus.tu-berlin.de</t>
  </si>
  <si>
    <t>Reinel</t>
  </si>
  <si>
    <t>Moritz</t>
  </si>
  <si>
    <t>moritz-reinel</t>
  </si>
  <si>
    <t>mo.ritz@fau.de</t>
  </si>
  <si>
    <t>Schütz</t>
  </si>
  <si>
    <t>Julian</t>
  </si>
  <si>
    <t>Beambamacrys</t>
  </si>
  <si>
    <t>julian.schuetz@fau.de</t>
  </si>
  <si>
    <t>Zobel</t>
  </si>
  <si>
    <t>Simeon</t>
  </si>
  <si>
    <t>uzantome</t>
  </si>
  <si>
    <t>git@uzanto.me</t>
  </si>
  <si>
    <t>Product Owner</t>
  </si>
  <si>
    <t>#</t>
  </si>
  <si>
    <t>Meeting Day</t>
  </si>
  <si>
    <t>Review</t>
  </si>
  <si>
    <t>Planning</t>
  </si>
  <si>
    <t>Software Developer</t>
  </si>
  <si>
    <t>Release Manager</t>
  </si>
  <si>
    <t>Scrum Master</t>
  </si>
  <si>
    <t>Comment</t>
  </si>
  <si>
    <t>Everyone else</t>
  </si>
  <si>
    <t>N/A</t>
  </si>
  <si>
    <t>Patrick Meusling</t>
  </si>
  <si>
    <t>Jeremias Friedrich</t>
  </si>
  <si>
    <t>Julian Schütz</t>
  </si>
  <si>
    <t>Katharina Auer</t>
  </si>
  <si>
    <t>Moritz Reinel</t>
  </si>
  <si>
    <t>Jaroslav Freymann</t>
  </si>
  <si>
    <t>Mid-term due</t>
  </si>
  <si>
    <t>Patrick Durand</t>
  </si>
  <si>
    <t>Simeon Zobel</t>
  </si>
  <si>
    <t>Demo day!</t>
  </si>
  <si>
    <t>Retrospective</t>
  </si>
  <si>
    <t>Product owners, software developers, and Scurm Master are set and ideally don't change over time; the critical part is the Release Manager role you need to define here</t>
  </si>
  <si>
    <t xml:space="preserve"> </t>
  </si>
  <si>
    <t>Goals</t>
  </si>
  <si>
    <t>Aquire new skills</t>
  </si>
  <si>
    <t>Produce a functioning and valuable product</t>
  </si>
  <si>
    <t>Meeting norms</t>
  </si>
  <si>
    <t>We show up on time</t>
  </si>
  <si>
    <t>Devs make sure to try to understand the new sprints tickets before the team meeting</t>
  </si>
  <si>
    <t>POs provide a summary of industry partner meeting</t>
  </si>
  <si>
    <t>Working norms</t>
  </si>
  <si>
    <t>Clean, testable code with clear commit messages, code comments</t>
  </si>
  <si>
    <t>We respect other people's work</t>
  </si>
  <si>
    <t>Coordination norms</t>
  </si>
  <si>
    <t xml:space="preserve">Separate branches for issues, branches only get merged via Merge Requests, second person to review </t>
  </si>
  <si>
    <t>We balance workload among the team</t>
  </si>
  <si>
    <t>Communication norms</t>
  </si>
  <si>
    <t>We regularly check the corresponding channels</t>
  </si>
  <si>
    <t>We make sure to communicate possible problems as early as possible (absence, etc.)</t>
  </si>
  <si>
    <t>We communicate constructively</t>
  </si>
  <si>
    <t>Consideration norms</t>
  </si>
  <si>
    <t>We discuss issues openly</t>
  </si>
  <si>
    <t>We vote in case we can't reach a consensus</t>
  </si>
  <si>
    <t>Cont. improvement norms</t>
  </si>
  <si>
    <t>We encourage critique and improvement efforts</t>
  </si>
  <si>
    <t>We reach out for help early enough to still finish our tasks</t>
  </si>
  <si>
    <t>Rewards</t>
  </si>
  <si>
    <t>Favorite Drink</t>
  </si>
  <si>
    <t>Wear a cool hat or glasses during meetings</t>
  </si>
  <si>
    <t>Sanctions</t>
  </si>
  <si>
    <t>Publish a stackoverflow answer</t>
  </si>
  <si>
    <t>Signatures</t>
  </si>
  <si>
    <t>Product owner</t>
  </si>
  <si>
    <t>Luca Klem</t>
  </si>
  <si>
    <t>Luca Böhm</t>
  </si>
  <si>
    <t>Software developer</t>
  </si>
  <si>
    <t>Product Vision</t>
  </si>
  <si>
    <t>Project Mission</t>
  </si>
  <si>
    <t>The reason of existence of the envisioned product (beyond this project).</t>
  </si>
  <si>
    <t>The mission of this particular project (in the context of the product vision).</t>
  </si>
  <si>
    <t>Term</t>
  </si>
  <si>
    <t>Definition</t>
  </si>
  <si>
    <t>Sprint #</t>
  </si>
  <si>
    <t>Sprint goal</t>
  </si>
  <si>
    <t>None</t>
  </si>
  <si>
    <t>Optional</t>
  </si>
  <si>
    <t>Write your sprint goal here</t>
  </si>
  <si>
    <t>Story Points Realized</t>
  </si>
  <si>
    <t>PLEASE CREATE THE VELOCITY CHART ON A NEW TAB USING THE DATA FROM THIS TAB</t>
  </si>
  <si>
    <t>Sprint</t>
  </si>
  <si>
    <t>Goal</t>
  </si>
  <si>
    <t>Feature Name</t>
  </si>
  <si>
    <t>Est. size</t>
  </si>
  <si>
    <t>Est. remaining</t>
  </si>
  <si>
    <t>Real size</t>
  </si>
  <si>
    <t>Real remaining</t>
  </si>
  <si>
    <t>Release</t>
  </si>
  <si>
    <t>Total</t>
  </si>
  <si>
    <t>Sprints</t>
  </si>
  <si>
    <t>Estimated burn-down</t>
  </si>
  <si>
    <t>Real burn-down</t>
  </si>
  <si>
    <t>Features</t>
  </si>
  <si>
    <t>PLEASE CREATE THE BURNDOWN CHART ON A NEW TAB USING THE DATA FROM THIS TAB</t>
  </si>
  <si>
    <t>Feature Definition of Done</t>
  </si>
  <si>
    <t>Sprint Release Definition of Done</t>
  </si>
  <si>
    <t>Project Release Definition of Done</t>
  </si>
  <si>
    <t>Type</t>
  </si>
  <si>
    <t>Link / reference</t>
  </si>
  <si>
    <t>Context</t>
  </si>
  <si>
    <t>Name</t>
  </si>
  <si>
    <t>Version</t>
  </si>
  <si>
    <t>License</t>
  </si>
  <si>
    <t>OS</t>
  </si>
  <si>
    <t>linux distribution TBD</t>
  </si>
  <si>
    <t>TBD</t>
  </si>
  <si>
    <t xml:space="preserve">Language </t>
  </si>
  <si>
    <t xml:space="preserve">Rust </t>
  </si>
  <si>
    <t>1.95.0 (latest stable)</t>
  </si>
  <si>
    <t>MIT/Apache 2.0</t>
  </si>
  <si>
    <t>Rust Toolchain</t>
  </si>
  <si>
    <t>rustc</t>
  </si>
  <si>
    <t>Rust Buildsystem</t>
  </si>
  <si>
    <t>cargo</t>
  </si>
  <si>
    <t>Rust Standard library</t>
  </si>
  <si>
    <t>rust-std</t>
  </si>
  <si>
    <t>Rust Security/Audit (Dev Process)</t>
  </si>
  <si>
    <t>cargo-audit</t>
  </si>
  <si>
    <t>0.22.1</t>
  </si>
  <si>
    <t>Runtime</t>
  </si>
  <si>
    <t>Container Engine (TBD)</t>
  </si>
  <si>
    <t xml:space="preserve">Security </t>
  </si>
  <si>
    <t>TPM (TBD)</t>
  </si>
  <si>
    <t>Update</t>
  </si>
  <si>
    <t>A/B Update Framework (TBD)</t>
  </si>
  <si>
    <t>Infrastructure</t>
  </si>
  <si>
    <t>Kubernetes (TBD)</t>
  </si>
  <si>
    <t xml:space="preserve">Publish Process </t>
  </si>
  <si>
    <t>Github Actions</t>
  </si>
  <si>
    <t>Rust Package</t>
  </si>
  <si>
    <t>config</t>
  </si>
  <si>
    <t>0.15.22</t>
  </si>
  <si>
    <t>https://github.com/rust-cli/config-rs</t>
  </si>
  <si>
    <t>env_logger</t>
  </si>
  <si>
    <t>0.11.10</t>
  </si>
  <si>
    <t>https://github.com/rust-cli/env_logger</t>
  </si>
  <si>
    <t>log</t>
  </si>
  <si>
    <t>0.4.29</t>
  </si>
  <si>
    <t>https://github.com/rust-lang/log</t>
  </si>
  <si>
    <t>serde</t>
  </si>
  <si>
    <t>1.0.228</t>
  </si>
  <si>
    <t>https://github.com/serde-rs/serde</t>
  </si>
  <si>
    <t>tokio</t>
  </si>
  <si>
    <t>1.52.1</t>
  </si>
  <si>
    <t>MIT</t>
  </si>
  <si>
    <t>https://github.com/tokio-rs/tokio</t>
  </si>
  <si>
    <t>Value</t>
  </si>
  <si>
    <t>No size</t>
  </si>
  <si>
    <t>Trivial size</t>
  </si>
  <si>
    <t>Small size</t>
  </si>
  <si>
    <t>Medium size</t>
  </si>
  <si>
    <t>Large size</t>
  </si>
  <si>
    <t>Very large size</t>
  </si>
  <si>
    <t>Too large (size)</t>
  </si>
  <si>
    <t>How to play planning poker</t>
  </si>
  <si>
    <t>1. Everyone type their number into their value field, don't hit return yet</t>
  </si>
  <si>
    <t>2. Someone, perhaps a product owner, count down 3.. 2.. 1..</t>
  </si>
  <si>
    <t>3. Then, everyone hit return to submit their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</si>
</sst>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-&quot;mm&quot;-&quot;dd"/>
    <numFmt numFmtId="165" formatCode="yyyy-mm-dd"/>
  </numFmts>
  <fonts count="17">
    <font>
      <sz val="10.0"/>
      <color rgb="FF000000"/>
      <name val="Arial"/>
    </font>
    <font>
      <b/>
    </font>
    <font/>
    <font>
      <u/>
      <color rgb="FF0000FF"/>
    </font>
    <font>
      <color rgb="FFE8E6E3"/>
    </font>
    <font>
      <u/>
      <color rgb="FF0000FF"/>
    </font>
    <font>
      <u/>
      <color rgb="FF0000FF"/>
    </font>
    <font>
      <b/>
      <color rgb="FF181A1B"/>
    </font>
    <font>
      <b/>
      <color rgb="FF181A1B"/>
      <name val="Arial"/>
    </font>
    <font>
      <u/>
      <color rgb="FF56A3F1"/>
      <name val="Arial"/>
    </font>
    <font>
      <name val="Arial"/>
    </font>
    <font>
      <color rgb="FF181A1B"/>
      <name val="Arial"/>
    </font>
    <font>
      <b/>
      <name val="Arial"/>
    </font>
    <font>
      <color rgb="FF000000"/>
      <name val="Arial"/>
    </font>
    <font>
      <b/>
      <color rgb="FF000000"/>
      <name val="Arial"/>
    </font>
    <font>
      <color rgb="FFFFFFFF"/>
      <name val="Arial"/>
    </font>
    <font>
      <b/>
      <sz val="24.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DBDBD"/>
        <bgColor rgb="FFBDBDBD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wrapText="1"/>
    </xf>
    <xf borderId="0" fillId="2" fontId="8" numFmtId="0" xfId="0" applyAlignment="1" applyFill="1" applyFont="1">
      <alignment shrinkToFit="0" vertical="bottom" wrapText="1"/>
    </xf>
    <xf borderId="0" fillId="2" fontId="9" numFmtId="0" xfId="0" applyAlignment="1" applyFont="1">
      <alignment shrinkToFit="0" vertical="bottom" wrapText="1"/>
    </xf>
    <xf borderId="0" fillId="0" fontId="1" numFmtId="0" xfId="0" applyAlignment="1" applyFont="1">
      <alignment readingOrder="0" shrinkToFit="0" wrapText="0"/>
    </xf>
    <xf borderId="0" fillId="0" fontId="10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0"/>
    </xf>
    <xf borderId="0" fillId="0" fontId="1" numFmtId="0" xfId="0" applyAlignment="1" applyFont="1">
      <alignment shrinkToFit="0" wrapText="0"/>
    </xf>
    <xf borderId="0" fillId="3" fontId="1" numFmtId="0" xfId="0" applyAlignment="1" applyFill="1" applyFont="1">
      <alignment horizontal="center" readingOrder="0" shrinkToFit="0" wrapText="0"/>
    </xf>
    <xf borderId="0" fillId="3" fontId="1" numFmtId="0" xfId="0" applyAlignment="1" applyFont="1">
      <alignment horizontal="center" shrinkToFit="0" wrapText="0"/>
    </xf>
    <xf borderId="0" fillId="0" fontId="1" numFmtId="0" xfId="0" applyAlignment="1" applyFont="1">
      <alignment horizontal="center" readingOrder="0" shrinkToFit="0" wrapText="0"/>
    </xf>
    <xf borderId="0" fillId="0" fontId="1" numFmtId="0" xfId="0" applyAlignment="1" applyFont="1">
      <alignment horizontal="center" shrinkToFit="0" wrapText="0"/>
    </xf>
    <xf borderId="0" fillId="0" fontId="2" numFmtId="0" xfId="0" applyAlignment="1" applyFont="1">
      <alignment horizontal="center" shrinkToFit="0" wrapText="0"/>
    </xf>
    <xf borderId="0" fillId="2" fontId="11" numFmtId="164" xfId="0" applyAlignment="1" applyFont="1" applyNumberFormat="1">
      <alignment readingOrder="0" shrinkToFit="0" vertical="bottom" wrapText="1"/>
    </xf>
    <xf borderId="0" fillId="0" fontId="2" numFmtId="164" xfId="0" applyAlignment="1" applyFont="1" applyNumberFormat="1">
      <alignment horizontal="left" readingOrder="0" shrinkToFit="0" wrapText="0"/>
    </xf>
    <xf borderId="0" fillId="4" fontId="11" numFmtId="165" xfId="0" applyAlignment="1" applyFill="1" applyFont="1" applyNumberFormat="1">
      <alignment readingOrder="0" shrinkToFit="0" vertical="bottom" wrapText="1"/>
    </xf>
    <xf borderId="0" fillId="0" fontId="2" numFmtId="0" xfId="0" applyAlignment="1" applyFont="1">
      <alignment horizontal="left" readingOrder="0" shrinkToFit="0" wrapText="0"/>
    </xf>
    <xf borderId="0" fillId="0" fontId="2" numFmtId="164" xfId="0" applyAlignment="1" applyFont="1" applyNumberFormat="1">
      <alignment shrinkToFit="0" wrapText="0"/>
    </xf>
    <xf borderId="0" fillId="0" fontId="2" numFmtId="164" xfId="0" applyAlignment="1" applyFont="1" applyNumberFormat="1">
      <alignment horizontal="left" shrinkToFit="0" wrapText="0"/>
    </xf>
    <xf borderId="0" fillId="0" fontId="2" numFmtId="164" xfId="0" applyAlignment="1" applyFont="1" applyNumberFormat="1">
      <alignment horizontal="left" shrinkToFit="0" wrapText="0"/>
    </xf>
    <xf borderId="0" fillId="0" fontId="2" numFmtId="0" xfId="0" applyAlignment="1" applyFont="1">
      <alignment horizontal="left" shrinkToFit="0" wrapText="0"/>
    </xf>
    <xf borderId="0" fillId="2" fontId="12" numFmtId="0" xfId="0" applyAlignment="1" applyFont="1">
      <alignment shrinkToFit="0" vertical="bottom" wrapText="1"/>
    </xf>
    <xf borderId="0" fillId="3" fontId="13" numFmtId="0" xfId="0" applyAlignment="1" applyFont="1">
      <alignment shrinkToFit="0" vertical="bottom" wrapText="1"/>
    </xf>
    <xf borderId="0" fillId="4" fontId="10" numFmtId="0" xfId="0" applyAlignment="1" applyFont="1">
      <alignment shrinkToFit="0" vertical="bottom" wrapText="1"/>
    </xf>
    <xf borderId="0" fillId="2" fontId="13" numFmtId="0" xfId="0" applyAlignment="1" applyFont="1">
      <alignment readingOrder="0" shrinkToFit="0" vertical="bottom" wrapText="1"/>
    </xf>
    <xf borderId="0" fillId="2" fontId="12" numFmtId="0" xfId="0" applyAlignment="1" applyFont="1">
      <alignment readingOrder="0" shrinkToFit="0" vertical="bottom" wrapText="1"/>
    </xf>
    <xf borderId="0" fillId="4" fontId="13" numFmtId="0" xfId="0" applyAlignment="1" applyFont="1">
      <alignment readingOrder="0" shrinkToFit="0" vertical="bottom" wrapText="1"/>
    </xf>
    <xf borderId="0" fillId="4" fontId="13" numFmtId="0" xfId="0" applyAlignment="1" applyFont="1">
      <alignment shrinkToFit="0" vertical="bottom" wrapText="1"/>
    </xf>
    <xf borderId="0" fillId="4" fontId="14" numFmtId="0" xfId="0" applyAlignment="1" applyFont="1">
      <alignment readingOrder="0" shrinkToFit="0" vertical="bottom" wrapText="1"/>
    </xf>
    <xf borderId="0" fillId="2" fontId="13" numFmtId="0" xfId="0" applyAlignment="1" applyFont="1">
      <alignment shrinkToFit="0" vertical="bottom" wrapText="1"/>
    </xf>
    <xf borderId="0" fillId="2" fontId="14" numFmtId="0" xfId="0" applyAlignment="1" applyFont="1">
      <alignment readingOrder="0" shrinkToFit="0" vertical="bottom" wrapText="1"/>
    </xf>
    <xf borderId="0" fillId="4" fontId="10" numFmtId="0" xfId="0" applyAlignment="1" applyFont="1">
      <alignment shrinkToFit="0" vertical="bottom" wrapText="1"/>
    </xf>
    <xf borderId="0" fillId="2" fontId="12" numFmtId="0" xfId="0" applyAlignment="1" applyFont="1">
      <alignment shrinkToFit="0" vertical="bottom" wrapText="1"/>
    </xf>
    <xf borderId="0" fillId="2" fontId="13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wrapText="1"/>
    </xf>
    <xf borderId="0" fillId="3" fontId="1" numFmtId="0" xfId="0" applyAlignment="1" applyFont="1">
      <alignment readingOrder="0" shrinkToFit="0" wrapText="1"/>
    </xf>
    <xf borderId="0" fillId="2" fontId="2" numFmtId="0" xfId="0" applyAlignment="1" applyFont="1">
      <alignment shrinkToFit="0" wrapText="1"/>
    </xf>
    <xf borderId="0" fillId="2" fontId="2" numFmtId="0" xfId="0" applyAlignment="1" applyFont="1">
      <alignment readingOrder="0" shrinkToFit="0" wrapText="1"/>
    </xf>
    <xf borderId="0" fillId="4" fontId="10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shrinkToFit="0" wrapText="1"/>
    </xf>
    <xf borderId="0" fillId="5" fontId="1" numFmtId="0" xfId="0" applyAlignment="1" applyFill="1" applyFont="1">
      <alignment readingOrder="0" shrinkToFit="0" wrapText="1"/>
    </xf>
    <xf borderId="0" fillId="3" fontId="12" numFmtId="0" xfId="0" applyAlignment="1" applyFont="1">
      <alignment horizontal="left" shrinkToFit="0" vertical="bottom" wrapText="1"/>
    </xf>
    <xf borderId="0" fillId="3" fontId="12" numFmtId="0" xfId="0" applyAlignment="1" applyFont="1">
      <alignment shrinkToFit="0" vertical="bottom" wrapText="0"/>
    </xf>
    <xf borderId="0" fillId="3" fontId="12" numFmtId="0" xfId="0" applyAlignment="1" applyFont="1">
      <alignment shrinkToFit="0" vertical="bottom" wrapText="0"/>
    </xf>
    <xf borderId="0" fillId="3" fontId="12" numFmtId="0" xfId="0" applyAlignment="1" applyFont="1">
      <alignment horizontal="center" readingOrder="0" shrinkToFit="0" vertical="bottom" wrapText="1"/>
    </xf>
    <xf borderId="0" fillId="2" fontId="10" numFmtId="0" xfId="0" applyAlignment="1" applyFont="1">
      <alignment horizontal="left" shrinkToFit="0" vertical="bottom" wrapText="1"/>
    </xf>
    <xf borderId="0" fillId="2" fontId="10" numFmtId="0" xfId="0" applyAlignment="1" applyFont="1">
      <alignment shrinkToFit="0" vertical="bottom" wrapText="0"/>
    </xf>
    <xf borderId="0" fillId="2" fontId="10" numFmtId="0" xfId="0" applyAlignment="1" applyFont="1">
      <alignment shrinkToFit="0" vertical="bottom" wrapText="1"/>
    </xf>
    <xf borderId="0" fillId="6" fontId="12" numFmtId="0" xfId="0" applyAlignment="1" applyFill="1" applyFont="1">
      <alignment horizontal="left" shrinkToFit="0" vertical="bottom" wrapText="0"/>
    </xf>
    <xf borderId="0" fillId="6" fontId="10" numFmtId="0" xfId="0" applyAlignment="1" applyFont="1">
      <alignment shrinkToFit="0" vertical="bottom" wrapText="0"/>
    </xf>
    <xf borderId="0" fillId="6" fontId="10" numFmtId="0" xfId="0" applyAlignment="1" applyFont="1">
      <alignment shrinkToFit="0" vertical="bottom" wrapText="1"/>
    </xf>
    <xf borderId="0" fillId="4" fontId="12" numFmtId="0" xfId="0" applyAlignment="1" applyFont="1">
      <alignment shrinkToFit="0" vertical="bottom" wrapText="0"/>
    </xf>
    <xf borderId="0" fillId="0" fontId="2" numFmtId="0" xfId="0" applyAlignment="1" applyFont="1">
      <alignment shrinkToFit="0" wrapText="0"/>
    </xf>
    <xf borderId="0" fillId="4" fontId="10" numFmtId="0" xfId="0" applyAlignment="1" applyFont="1">
      <alignment horizontal="right" shrinkToFit="0" vertical="bottom" wrapText="0"/>
    </xf>
    <xf borderId="0" fillId="7" fontId="12" numFmtId="0" xfId="0" applyAlignment="1" applyFill="1" applyFont="1">
      <alignment horizontal="left" shrinkToFit="0" vertical="bottom" wrapText="0"/>
    </xf>
    <xf borderId="0" fillId="7" fontId="12" numFmtId="0" xfId="0" applyAlignment="1" applyFont="1">
      <alignment shrinkToFit="0" vertical="bottom" wrapText="0"/>
    </xf>
    <xf borderId="0" fillId="7" fontId="10" numFmtId="0" xfId="0" applyAlignment="1" applyFont="1">
      <alignment shrinkToFit="0" vertical="bottom" wrapText="1"/>
    </xf>
    <xf borderId="0" fillId="2" fontId="15" numFmtId="0" xfId="0" applyAlignment="1" applyFont="1">
      <alignment horizontal="center" shrinkToFit="0" vertical="bottom" wrapText="0"/>
    </xf>
    <xf borderId="0" fillId="4" fontId="10" numFmtId="0" xfId="0" applyAlignment="1" applyFont="1">
      <alignment horizontal="left" shrinkToFit="0" vertical="bottom" wrapText="1"/>
    </xf>
    <xf borderId="0" fillId="2" fontId="10" numFmtId="0" xfId="0" applyAlignment="1" applyFont="1">
      <alignment horizontal="right" shrinkToFit="0" vertical="bottom" wrapText="0"/>
    </xf>
    <xf borderId="0" fillId="2" fontId="10" numFmtId="0" xfId="0" applyAlignment="1" applyFont="1">
      <alignment horizontal="left" readingOrder="0" shrinkToFit="0" vertical="bottom" wrapText="1"/>
    </xf>
    <xf borderId="0" fillId="2" fontId="10" numFmtId="0" xfId="0" applyAlignment="1" applyFont="1">
      <alignment shrinkToFit="0" vertical="bottom" wrapText="0"/>
    </xf>
    <xf borderId="0" fillId="8" fontId="12" numFmtId="0" xfId="0" applyAlignment="1" applyFill="1" applyFont="1">
      <alignment horizontal="left" shrinkToFit="0" vertical="bottom" wrapText="0"/>
    </xf>
    <xf borderId="0" fillId="8" fontId="12" numFmtId="0" xfId="0" applyAlignment="1" applyFont="1">
      <alignment shrinkToFit="0" vertical="bottom" wrapText="0"/>
    </xf>
    <xf borderId="0" fillId="8" fontId="10" numFmtId="0" xfId="0" applyAlignment="1" applyFont="1">
      <alignment shrinkToFit="0" vertical="bottom" wrapText="1"/>
    </xf>
    <xf borderId="0" fillId="2" fontId="12" numFmtId="0" xfId="0" applyAlignment="1" applyFont="1">
      <alignment horizontal="left" shrinkToFit="0" vertical="bottom" wrapText="0"/>
    </xf>
    <xf borderId="0" fillId="2" fontId="12" numFmtId="0" xfId="0" applyAlignment="1" applyFont="1">
      <alignment shrinkToFit="0" vertical="bottom" wrapText="0"/>
    </xf>
    <xf borderId="0" fillId="4" fontId="10" numFmtId="0" xfId="0" applyAlignment="1" applyFont="1">
      <alignment shrinkToFit="0" vertical="bottom" wrapText="0"/>
    </xf>
    <xf borderId="0" fillId="2" fontId="10" numFmtId="0" xfId="0" applyAlignment="1" applyFont="1">
      <alignment horizontal="right" shrinkToFit="0" vertical="bottom" wrapText="0"/>
    </xf>
    <xf borderId="0" fillId="2" fontId="10" numFmtId="0" xfId="0" applyAlignment="1" applyFont="1">
      <alignment horizontal="left" shrinkToFit="0" vertical="bottom" wrapText="1"/>
    </xf>
    <xf borderId="0" fillId="5" fontId="1" numFmtId="0" xfId="0" applyAlignment="1" applyFont="1">
      <alignment readingOrder="0" shrinkToFit="0" wrapText="0"/>
    </xf>
    <xf borderId="0" fillId="3" fontId="12" numFmtId="0" xfId="0" applyAlignment="1" applyFont="1">
      <alignment shrinkToFit="0" vertical="bottom" wrapText="1"/>
    </xf>
    <xf borderId="0" fillId="7" fontId="12" numFmtId="0" xfId="0" applyAlignment="1" applyFont="1">
      <alignment shrinkToFit="0" vertical="bottom" wrapText="0"/>
    </xf>
    <xf borderId="0" fillId="2" fontId="10" numFmtId="0" xfId="0" applyAlignment="1" applyFont="1">
      <alignment shrinkToFit="0" vertical="bottom" wrapText="1"/>
    </xf>
    <xf borderId="0" fillId="3" fontId="12" numFmtId="0" xfId="0" applyAlignment="1" applyFont="1">
      <alignment shrinkToFit="0" vertical="bottom" wrapText="1"/>
    </xf>
    <xf borderId="0" fillId="3" fontId="12" numFmtId="0" xfId="0" applyAlignment="1" applyFont="1">
      <alignment readingOrder="0" shrinkToFit="0" vertical="bottom" wrapText="0"/>
    </xf>
    <xf borderId="0" fillId="3" fontId="12" numFmtId="0" xfId="0" applyAlignment="1" applyFont="1">
      <alignment shrinkToFit="0" vertical="center" wrapText="1"/>
    </xf>
    <xf borderId="0" fillId="3" fontId="12" numFmtId="0" xfId="0" applyAlignment="1" applyFont="1">
      <alignment horizontal="center" shrinkToFit="0" vertical="center" wrapText="1"/>
    </xf>
    <xf borderId="0" fillId="3" fontId="12" numFmtId="4" xfId="0" applyAlignment="1" applyFont="1" applyNumberFormat="1">
      <alignment shrinkToFit="0" vertical="center" wrapText="1"/>
    </xf>
    <xf borderId="0" fillId="3" fontId="10" numFmtId="4" xfId="0" applyAlignment="1" applyFont="1" applyNumberFormat="1">
      <alignment shrinkToFit="0" vertical="center" wrapText="1"/>
    </xf>
    <xf borderId="0" fillId="3" fontId="10" numFmtId="0" xfId="0" applyAlignment="1" applyFont="1">
      <alignment shrinkToFit="0" vertical="center" wrapText="1"/>
    </xf>
    <xf borderId="0" fillId="3" fontId="1" numFmtId="0" xfId="0" applyAlignment="1" applyFont="1">
      <alignment shrinkToFit="0" vertical="center" wrapText="1"/>
    </xf>
    <xf borderId="0" fillId="2" fontId="12" numFmtId="0" xfId="0" applyAlignment="1" applyFont="1">
      <alignment shrinkToFit="0" vertical="center" wrapText="1"/>
    </xf>
    <xf borderId="0" fillId="5" fontId="10" numFmtId="0" xfId="0" applyAlignment="1" applyFont="1">
      <alignment horizontal="center" readingOrder="0" shrinkToFit="0" vertical="center" wrapText="1"/>
    </xf>
    <xf borderId="0" fillId="2" fontId="10" numFmtId="4" xfId="0" applyAlignment="1" applyFont="1" applyNumberFormat="1">
      <alignment shrinkToFit="0" vertical="center" wrapText="1"/>
    </xf>
    <xf borderId="0" fillId="8" fontId="16" numFmtId="4" xfId="0" applyAlignment="1" applyFont="1" applyNumberFormat="1">
      <alignment horizontal="center" shrinkToFit="0" vertical="center" wrapText="1"/>
    </xf>
    <xf borderId="0" fillId="8" fontId="16" numFmtId="0" xfId="0" applyAlignment="1" applyFont="1">
      <alignment horizontal="center" shrinkToFit="0" vertical="center" wrapText="1"/>
    </xf>
    <xf borderId="0" fillId="2" fontId="2" numFmtId="0" xfId="0" applyAlignment="1" applyFont="1">
      <alignment shrinkToFit="0" vertical="center" wrapText="1"/>
    </xf>
    <xf borderId="0" fillId="4" fontId="12" numFmtId="0" xfId="0" applyAlignment="1" applyFont="1">
      <alignment shrinkToFit="0" vertical="center" wrapText="1"/>
    </xf>
    <xf borderId="0" fillId="4" fontId="10" numFmtId="4" xfId="0" applyAlignment="1" applyFont="1" applyNumberFormat="1">
      <alignment shrinkToFit="0" vertical="center" wrapText="1"/>
    </xf>
    <xf borderId="0" fillId="4" fontId="2" numFmtId="0" xfId="0" applyAlignment="1" applyFont="1">
      <alignment shrinkToFit="0" vertical="center" wrapText="1"/>
    </xf>
    <xf borderId="0" fillId="5" fontId="10" numFmtId="0" xfId="0" applyAlignment="1" applyFont="1">
      <alignment horizontal="center" shrinkToFit="0" vertical="center" wrapText="1"/>
    </xf>
    <xf borderId="0" fillId="5" fontId="10" numFmtId="0" xfId="0" applyAlignment="1" applyFont="1">
      <alignment horizontal="center" shrinkToFit="0" vertical="center" wrapText="1"/>
    </xf>
    <xf borderId="0" fillId="4" fontId="10" numFmtId="0" xfId="0" applyAlignment="1" applyFont="1">
      <alignment shrinkToFit="0" vertical="center" wrapText="1"/>
    </xf>
    <xf borderId="0" fillId="2" fontId="10" numFmtId="0" xfId="0" applyAlignment="1" applyFont="1">
      <alignment shrinkToFit="0" vertical="center" wrapText="1"/>
    </xf>
    <xf borderId="0" fillId="7" fontId="10" numFmtId="0" xfId="0" applyAlignment="1" applyFont="1">
      <alignment horizontal="center" shrinkToFit="0" vertical="center" wrapText="1"/>
    </xf>
    <xf borderId="0" fillId="7" fontId="10" numFmtId="0" xfId="0" applyAlignment="1" applyFont="1">
      <alignment readingOrder="0" shrinkToFit="0" vertical="center" wrapText="1"/>
    </xf>
    <xf borderId="0" fillId="2" fontId="1" numFmtId="0" xfId="0" applyAlignment="1" applyFont="1">
      <alignment shrinkToFit="0" wrapText="0"/>
    </xf>
    <xf borderId="0" fillId="2" fontId="1" numFmtId="0" xfId="0" applyAlignment="1" applyFont="1">
      <alignment shrinkToFit="0" wrapText="0"/>
    </xf>
    <xf borderId="0" fillId="4" fontId="2" numFmtId="0" xfId="0" applyAlignment="1" applyFont="1">
      <alignment shrinkToFit="0" wrapText="0"/>
    </xf>
    <xf borderId="0" fillId="2" fontId="2" numFmtId="0" xfId="0" applyAlignment="1" applyFont="1">
      <alignment shrinkToFit="0" wrapText="0"/>
    </xf>
    <xf borderId="0" fillId="2" fontId="2" numFmtId="0" xfId="0" applyAlignment="1" applyFont="1">
      <alignment shrinkToFit="0" wrapText="0"/>
    </xf>
    <xf borderId="0" fillId="4" fontId="2" numFmtId="0" xfId="0" applyAlignment="1" applyFont="1">
      <alignment shrinkToFit="0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2">
    <tableStyle count="3" pivot="0" name="Project Data-style">
      <tableStyleElement dxfId="1" type="headerRow"/>
      <tableStyleElement dxfId="2" type="firstRowStripe"/>
      <tableStyleElement dxfId="3" type="secondRowStripe"/>
    </tableStyle>
    <tableStyle count="3" pivot="0" name="Project Team-style">
      <tableStyleElement dxfId="1" type="headerRow"/>
      <tableStyleElement dxfId="2" type="firstRowStripe"/>
      <tableStyleElement dxfId="3" type="secondRowStripe"/>
    </tableStyle>
    <tableStyle count="3" pivot="0" name="Role Assignments-style">
      <tableStyleElement dxfId="1" type="headerRow"/>
      <tableStyleElement dxfId="2" type="firstRowStripe"/>
      <tableStyleElement dxfId="3" type="secondRowStripe"/>
    </tableStyle>
    <tableStyle count="3" pivot="0" name="Team Contract-style">
      <tableStyleElement dxfId="1" type="headerRow"/>
      <tableStyleElement dxfId="2" type="firstRowStripe"/>
      <tableStyleElement dxfId="3" type="secondRowStripe"/>
    </tableStyle>
    <tableStyle count="3" pivot="0" name="Product Glossary-style">
      <tableStyleElement dxfId="1" type="headerRow"/>
      <tableStyleElement dxfId="2" type="firstRowStripe"/>
      <tableStyleElement dxfId="3" type="secondRowStripe"/>
    </tableStyle>
    <tableStyle count="3" pivot="0" name="Sprint Goals-style">
      <tableStyleElement dxfId="1" type="headerRow"/>
      <tableStyleElement dxfId="2" type="firstRowStripe"/>
      <tableStyleElement dxfId="3" type="secondRowStripe"/>
    </tableStyle>
    <tableStyle count="3" pivot="0" name="Velocity Tracking-style">
      <tableStyleElement dxfId="1" type="headerRow"/>
      <tableStyleElement dxfId="2" type="firstRowStripe"/>
      <tableStyleElement dxfId="3" type="secondRowStripe"/>
    </tableStyle>
    <tableStyle count="3" pivot="0" name="Mid-Project Release plan-style">
      <tableStyleElement dxfId="1" type="headerRow"/>
      <tableStyleElement dxfId="2" type="firstRowStripe"/>
      <tableStyleElement dxfId="3" type="secondRowStripe"/>
    </tableStyle>
    <tableStyle count="3" pivot="0" name="Final Project Release plan-style">
      <tableStyleElement dxfId="1" type="headerRow"/>
      <tableStyleElement dxfId="2" type="firstRowStripe"/>
      <tableStyleElement dxfId="3" type="secondRowStripe"/>
    </tableStyle>
    <tableStyle count="3" pivot="0" name="Definition of Done-style">
      <tableStyleElement dxfId="1" type="headerRow"/>
      <tableStyleElement dxfId="2" type="firstRowStripe"/>
      <tableStyleElement dxfId="3" type="secondRowStripe"/>
    </tableStyle>
    <tableStyle count="3" pivot="0" name="Documentation-style">
      <tableStyleElement dxfId="1" type="headerRow"/>
      <tableStyleElement dxfId="2" type="firstRowStripe"/>
      <tableStyleElement dxfId="3" type="secondRowStripe"/>
    </tableStyle>
    <tableStyle count="3" pivot="0" name="Bill of Material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20" displayName="Table_1" name="Table_1" id="1">
  <tableColumns count="2">
    <tableColumn name="Project Name" id="1"/>
    <tableColumn name="Zero Downtime Linux Updates" id="2"/>
  </tableColumns>
  <tableStyleInfo name="Project Data-style" showColumnStripes="0" showFirstColumn="1" showLastColumn="1" showRowStripes="1"/>
</table>
</file>

<file path=xl/tables/table2.xml><?xml version="1.0" encoding="utf-8"?>
<table xmlns="http://schemas.openxmlformats.org/spreadsheetml/2006/main" ref="A1:D20" displayName="Table_2" name="Table_2" id="2">
  <tableColumns count="4">
    <tableColumn name="Last Name" id="1"/>
    <tableColumn name="First Name" id="2"/>
    <tableColumn name="GitHub User Name" id="3"/>
    <tableColumn name="Email Address" id="4"/>
  </tableColumns>
  <tableStyleInfo name="Project Team-style" showColumnStripes="0" showFirstColumn="1" showLastColumn="1" showRowStripes="1"/>
</table>
</file>

<file path=xl/tables/table3.xml><?xml version="1.0" encoding="utf-8"?>
<table xmlns="http://schemas.openxmlformats.org/spreadsheetml/2006/main" ref="A2:H21" displayName="Table_3" name="Table_3" id="3">
  <tableColumns count="8">
    <tableColumn name="#" id="1"/>
    <tableColumn name="Meeting Day" id="2"/>
    <tableColumn name="Review" id="3"/>
    <tableColumn name="Planning" id="4"/>
    <tableColumn name="Software Developer" id="5"/>
    <tableColumn name="Release Manager" id="6"/>
    <tableColumn name="Scrum Master" id="7"/>
    <tableColumn name="Comment" id="8"/>
  </tableColumns>
  <tableStyleInfo name="Role Assignments-style" showColumnStripes="0" showFirstColumn="1" showLastColumn="1" showRowStripes="1"/>
</table>
</file>

<file path=xl/tables/table4.xml><?xml version="1.0" encoding="utf-8"?>
<table xmlns="http://schemas.openxmlformats.org/spreadsheetml/2006/main" ref="A1:B32" displayName="Table_4" name="Table_4" id="4">
  <tableColumns count="2">
    <tableColumn name="Goals" id="1"/>
    <tableColumn name="Aquire new skills" id="2"/>
  </tableColumns>
  <tableStyleInfo name="Team Contract-style" showColumnStripes="0" showFirstColumn="1" showLastColumn="1" showRowStripes="1"/>
</table>
</file>

<file path=xl/tables/table5.xml><?xml version="1.0" encoding="utf-8"?>
<table xmlns="http://schemas.openxmlformats.org/spreadsheetml/2006/main" ref="A1:B20" displayName="Table_5" name="Table_5" id="5">
  <tableColumns count="2">
    <tableColumn name="Term" id="1"/>
    <tableColumn name="Definition" id="2"/>
  </tableColumns>
  <tableStyleInfo name="Product Glossary-style" showColumnStripes="0" showFirstColumn="1" showLastColumn="1" showRowStripes="1"/>
</table>
</file>

<file path=xl/tables/table6.xml><?xml version="1.0" encoding="utf-8"?>
<table xmlns="http://schemas.openxmlformats.org/spreadsheetml/2006/main" ref="A1:B20" displayName="Table_6" name="Table_6" id="6">
  <tableColumns count="2">
    <tableColumn name="Sprint #" id="1"/>
    <tableColumn name="Sprint goal" id="2"/>
  </tableColumns>
  <tableStyleInfo name="Sprint Goals-style" showColumnStripes="0" showFirstColumn="1" showLastColumn="1" showRowStripes="1"/>
</table>
</file>

<file path=xl/tables/table7.xml><?xml version="1.0" encoding="utf-8"?>
<table xmlns="http://schemas.openxmlformats.org/spreadsheetml/2006/main" ref="A1:B20" displayName="Table_7" name="Table_7" id="7">
  <tableColumns count="2">
    <tableColumn name="Sprint #" id="1"/>
    <tableColumn name="Story Points Realized" id="2"/>
  </tableColumns>
  <tableStyleInfo name="Velocity Tracking-style" showColumnStripes="0" showFirstColumn="1" showLastColumn="1" showRowStripes="1"/>
</table>
</file>

<file path=xl/tables/table8.xml><?xml version="1.0" encoding="utf-8"?>
<table xmlns="http://schemas.openxmlformats.org/spreadsheetml/2006/main" ref="A1:G34" displayName="Table_8" name="Table_8" id="8">
  <tableColumns count="7">
    <tableColumn name="Sprint" id="1"/>
    <tableColumn name="Goal" id="2"/>
    <tableColumn name="Feature Name" id="3"/>
    <tableColumn name="Est. size" id="4"/>
    <tableColumn name="Est. remaining" id="5"/>
    <tableColumn name="Real size" id="6"/>
    <tableColumn name="Real remaining" id="7"/>
  </tableColumns>
  <tableStyleInfo name="Mid-Project Release plan-style" showColumnStripes="0" showFirstColumn="1" showLastColumn="1" showRowStripes="1"/>
</table>
</file>

<file path=xl/tables/table9.xml><?xml version="1.0" encoding="utf-8"?>
<table xmlns="http://schemas.openxmlformats.org/spreadsheetml/2006/main" ref="A1:G34" displayName="Table_9" name="Table_9" id="9">
  <tableColumns count="7">
    <tableColumn name="Sprint" id="1"/>
    <tableColumn name="Goal" id="2"/>
    <tableColumn name="Feature Name" id="3"/>
    <tableColumn name="Est. size" id="4"/>
    <tableColumn name="Est. remaining" id="5"/>
    <tableColumn name="Real size" id="6"/>
    <tableColumn name="Real remaining" id="7"/>
  </tableColumns>
  <tableStyleInfo name="Final Project Release plan-style" showColumnStripes="0" showFirstColumn="1" showLastColumn="1" showRowStripes="1"/>
</table>
</file>

<file path=xl/tables/table10.xml><?xml version="1.0" encoding="utf-8"?>
<table xmlns="http://schemas.openxmlformats.org/spreadsheetml/2006/main" ref="A1:D20" displayName="Table_10" name="Table_10" id="10">
  <tableColumns count="4">
    <tableColumn name="#" id="1"/>
    <tableColumn name="Feature Definition of Done" id="2"/>
    <tableColumn name="Sprint Release Definition of Done" id="3"/>
    <tableColumn name="Project Release Definition of Done" id="4"/>
  </tableColumns>
  <tableStyleInfo name="Definition of Done-style" showColumnStripes="0" showFirstColumn="1" showLastColumn="1" showRowStripes="1"/>
</table>
</file>

<file path=xl/tables/table11.xml><?xml version="1.0" encoding="utf-8"?>
<table xmlns="http://schemas.openxmlformats.org/spreadsheetml/2006/main" ref="A1:B20" displayName="Table_11" name="Table_11" id="11">
  <tableColumns count="2">
    <tableColumn name="Type" id="1"/>
    <tableColumn name="Link / reference" id="2"/>
  </tableColumns>
  <tableStyleInfo name="Documentation-style" showColumnStripes="0" showFirstColumn="1" showLastColumn="1" showRowStripes="1"/>
</table>
</file>

<file path=xl/tables/table12.xml><?xml version="1.0" encoding="utf-8"?>
<table xmlns="http://schemas.openxmlformats.org/spreadsheetml/2006/main" ref="A1:F20" displayName="Table_12" name="Table_12" id="12">
  <tableColumns count="6">
    <tableColumn name="#" id="1"/>
    <tableColumn name="Context" id="2"/>
    <tableColumn name="Name" id="3"/>
    <tableColumn name="Version" id="4"/>
    <tableColumn name="License" id="5"/>
    <tableColumn name="Comment" id="6"/>
  </tableColumns>
  <tableStyleInfo name="Bill of Material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u-berlin.zoom-x.de/j/2406759921?pwd=ahCbJqSuz3RaljImkCzVHeSgzqLg2k.1" TargetMode="External"/><Relationship Id="rId2" Type="http://schemas.openxmlformats.org/officeDocument/2006/relationships/hyperlink" Target="https://github.com/amosproj/amos2026ss01-zero-downtime-linux-updates" TargetMode="External"/><Relationship Id="rId3" Type="http://schemas.openxmlformats.org/officeDocument/2006/relationships/hyperlink" Target="https://github.com/orgs/amosproj/projects/97" TargetMode="External"/><Relationship Id="rId4" Type="http://schemas.openxmlformats.org/officeDocument/2006/relationships/hyperlink" Target="https://github.com/orgs/amosproj/projects/101" TargetMode="External"/><Relationship Id="rId10" Type="http://schemas.openxmlformats.org/officeDocument/2006/relationships/drawing" Target="../drawings/drawing1.xml"/><Relationship Id="rId12" Type="http://schemas.openxmlformats.org/officeDocument/2006/relationships/table" Target="../tables/table1.xml"/><Relationship Id="rId9" Type="http://schemas.openxmlformats.org/officeDocument/2006/relationships/hyperlink" Target="https://planningpokeronline.com/t2YLAtlYDVOOcjJW6gzq/" TargetMode="External"/><Relationship Id="rId5" Type="http://schemas.openxmlformats.org/officeDocument/2006/relationships/hyperlink" Target="https://github.com/amosproj/amos2026ss01-zero-downtime-linux-updates/blob/main/Deliverables/sprint-01/team-logo.svg" TargetMode="External"/><Relationship Id="rId6" Type="http://schemas.openxmlformats.org/officeDocument/2006/relationships/hyperlink" Target="https://github.com/amosproj/amos2026ss01-zero-downtime-linux-updates/blob/main/Deliverables/sprint-01/team-logo.svg" TargetMode="External"/><Relationship Id="rId7" Type="http://schemas.openxmlformats.org/officeDocument/2006/relationships/hyperlink" Target="https://discord.gg/cBnpkJKNEu" TargetMode="External"/><Relationship Id="rId8" Type="http://schemas.openxmlformats.org/officeDocument/2006/relationships/hyperlink" Target="https://happy.uni1.de/login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0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1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rust-cli/config-rs" TargetMode="External"/><Relationship Id="rId2" Type="http://schemas.openxmlformats.org/officeDocument/2006/relationships/hyperlink" Target="https://github.com/rust-cli/env_logger" TargetMode="External"/><Relationship Id="rId3" Type="http://schemas.openxmlformats.org/officeDocument/2006/relationships/hyperlink" Target="https://github.com/rust-lang/log" TargetMode="External"/><Relationship Id="rId4" Type="http://schemas.openxmlformats.org/officeDocument/2006/relationships/hyperlink" Target="https://github.com/serde-rs/serde" TargetMode="External"/><Relationship Id="rId5" Type="http://schemas.openxmlformats.org/officeDocument/2006/relationships/hyperlink" Target="https://github.com/tokio-rs/tokio" TargetMode="External"/><Relationship Id="rId6" Type="http://schemas.openxmlformats.org/officeDocument/2006/relationships/drawing" Target="../drawings/drawing13.xml"/><Relationship Id="rId8" Type="http://schemas.openxmlformats.org/officeDocument/2006/relationships/table" Target="../tables/table12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1" t="s">
        <v>0</v>
      </c>
      <c r="B1" s="2" t="s">
        <v>1</v>
      </c>
    </row>
    <row r="2">
      <c r="A2" s="1"/>
      <c r="B2" s="3"/>
    </row>
    <row r="3">
      <c r="A3" s="4" t="s">
        <v>2</v>
      </c>
      <c r="B3" s="5" t="s">
        <v>3</v>
      </c>
    </row>
    <row r="4">
      <c r="A4" s="1"/>
      <c r="B4" s="2">
        <v>3.0</v>
      </c>
    </row>
    <row r="5">
      <c r="A5" s="4" t="s">
        <v>4</v>
      </c>
    </row>
    <row r="6">
      <c r="A6" s="4" t="s">
        <v>5</v>
      </c>
      <c r="B6" s="2" t="s">
        <v>6</v>
      </c>
    </row>
    <row r="7">
      <c r="A7" s="1"/>
      <c r="B7" s="3"/>
    </row>
    <row r="8">
      <c r="A8" s="4" t="s">
        <v>7</v>
      </c>
      <c r="B8" s="5" t="s">
        <v>8</v>
      </c>
    </row>
    <row r="9">
      <c r="A9" s="4" t="s">
        <v>9</v>
      </c>
      <c r="B9" s="5" t="s">
        <v>10</v>
      </c>
    </row>
    <row r="10">
      <c r="A10" s="4" t="s">
        <v>11</v>
      </c>
      <c r="B10" s="5" t="s">
        <v>12</v>
      </c>
    </row>
    <row r="11">
      <c r="A11" s="1"/>
    </row>
    <row r="12">
      <c r="A12" s="6" t="s">
        <v>13</v>
      </c>
      <c r="B12" s="7" t="s">
        <v>14</v>
      </c>
    </row>
    <row r="13">
      <c r="A13" s="4" t="s">
        <v>15</v>
      </c>
      <c r="B13" s="8" t="s">
        <v>16</v>
      </c>
    </row>
    <row r="14">
      <c r="A14" s="4" t="s">
        <v>17</v>
      </c>
      <c r="B14" s="9" t="s">
        <v>16</v>
      </c>
    </row>
    <row r="15">
      <c r="A15" s="1"/>
      <c r="B15" s="3"/>
    </row>
    <row r="16">
      <c r="A16" s="1" t="s">
        <v>18</v>
      </c>
      <c r="B16" s="5" t="s">
        <v>19</v>
      </c>
    </row>
    <row r="17">
      <c r="A17" s="1"/>
      <c r="B17" s="3"/>
    </row>
    <row r="18">
      <c r="A18" s="4" t="s">
        <v>20</v>
      </c>
      <c r="B18" s="7" t="s">
        <v>21</v>
      </c>
    </row>
    <row r="19">
      <c r="A19" s="10" t="s">
        <v>22</v>
      </c>
      <c r="B19" s="8" t="s">
        <v>23</v>
      </c>
    </row>
    <row r="20">
      <c r="A20" s="11" t="s">
        <v>24</v>
      </c>
      <c r="B20" s="12" t="s">
        <v>25</v>
      </c>
    </row>
  </sheetData>
  <dataValidations>
    <dataValidation type="list" allowBlank="1" showErrorMessage="1" sqref="B12">
      <formula1>"Upper Torso Center Large,Upper Torso Right Small"</formula1>
    </dataValidation>
  </dataValidations>
  <hyperlinks>
    <hyperlink r:id="rId1" ref="B3"/>
    <hyperlink r:id="rId2" ref="B8"/>
    <hyperlink r:id="rId3" ref="B9"/>
    <hyperlink r:id="rId4" ref="B10"/>
    <hyperlink r:id="rId5" ref="B13"/>
    <hyperlink r:id="rId6" ref="B14"/>
    <hyperlink r:id="rId7" ref="B16"/>
    <hyperlink r:id="rId8" ref="B19"/>
    <hyperlink r:id="rId9" ref="B20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0"/>
  <tableParts count="1">
    <tablePart r:id="rId1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4" width="31.38"/>
  </cols>
  <sheetData>
    <row r="1">
      <c r="A1" s="13" t="s">
        <v>26</v>
      </c>
      <c r="B1" s="13" t="s">
        <v>27</v>
      </c>
      <c r="C1" s="13" t="s">
        <v>28</v>
      </c>
      <c r="D1" s="13" t="s">
        <v>29</v>
      </c>
    </row>
    <row r="2">
      <c r="A2" s="14" t="s">
        <v>30</v>
      </c>
      <c r="B2" s="14" t="s">
        <v>31</v>
      </c>
      <c r="C2" s="15" t="s">
        <v>32</v>
      </c>
      <c r="D2" s="15" t="s">
        <v>33</v>
      </c>
    </row>
    <row r="3">
      <c r="A3" s="14" t="s">
        <v>34</v>
      </c>
      <c r="B3" s="14" t="s">
        <v>35</v>
      </c>
      <c r="C3" s="16" t="s">
        <v>36</v>
      </c>
      <c r="D3" s="16" t="s">
        <v>37</v>
      </c>
    </row>
    <row r="4">
      <c r="A4" s="14" t="s">
        <v>38</v>
      </c>
      <c r="B4" s="14" t="s">
        <v>39</v>
      </c>
      <c r="C4" s="16" t="s">
        <v>40</v>
      </c>
      <c r="D4" s="16" t="s">
        <v>41</v>
      </c>
    </row>
    <row r="5">
      <c r="A5" s="14" t="s">
        <v>42</v>
      </c>
      <c r="B5" s="14" t="s">
        <v>43</v>
      </c>
      <c r="C5" s="16" t="s">
        <v>44</v>
      </c>
      <c r="D5" s="16" t="s">
        <v>45</v>
      </c>
    </row>
    <row r="6">
      <c r="A6" s="14" t="s">
        <v>46</v>
      </c>
      <c r="B6" s="14" t="s">
        <v>47</v>
      </c>
      <c r="C6" s="16" t="s">
        <v>48</v>
      </c>
      <c r="D6" s="16" t="s">
        <v>49</v>
      </c>
    </row>
    <row r="7">
      <c r="A7" s="14" t="s">
        <v>50</v>
      </c>
      <c r="B7" s="14" t="s">
        <v>35</v>
      </c>
      <c r="C7" s="16" t="s">
        <v>51</v>
      </c>
      <c r="D7" s="16" t="s">
        <v>52</v>
      </c>
    </row>
    <row r="8">
      <c r="A8" s="14" t="s">
        <v>53</v>
      </c>
      <c r="B8" s="14" t="s">
        <v>39</v>
      </c>
      <c r="C8" s="16" t="s">
        <v>54</v>
      </c>
      <c r="D8" s="16" t="s">
        <v>55</v>
      </c>
    </row>
    <row r="9">
      <c r="A9" s="14" t="s">
        <v>56</v>
      </c>
      <c r="B9" s="14" t="s">
        <v>57</v>
      </c>
      <c r="C9" s="16" t="s">
        <v>58</v>
      </c>
      <c r="D9" s="16" t="s">
        <v>59</v>
      </c>
    </row>
    <row r="10">
      <c r="A10" s="14" t="s">
        <v>60</v>
      </c>
      <c r="B10" s="14" t="s">
        <v>61</v>
      </c>
      <c r="C10" s="16" t="s">
        <v>62</v>
      </c>
      <c r="D10" s="16" t="s">
        <v>63</v>
      </c>
    </row>
    <row r="11">
      <c r="A11" s="14" t="s">
        <v>64</v>
      </c>
      <c r="B11" s="14" t="s">
        <v>65</v>
      </c>
      <c r="C11" s="16" t="s">
        <v>66</v>
      </c>
      <c r="D11" s="16" t="s">
        <v>67</v>
      </c>
    </row>
    <row r="12">
      <c r="A12" s="17"/>
      <c r="B12" s="17"/>
      <c r="C12" s="17"/>
      <c r="D12" s="17"/>
    </row>
    <row r="13">
      <c r="A13" s="13"/>
      <c r="B13" s="18"/>
      <c r="C13" s="18"/>
      <c r="D13" s="18"/>
    </row>
    <row r="14">
      <c r="A14" s="17"/>
      <c r="B14" s="15"/>
      <c r="C14" s="17"/>
      <c r="D14" s="17"/>
    </row>
    <row r="15">
      <c r="A15" s="17"/>
      <c r="B15" s="15"/>
      <c r="C15" s="17"/>
      <c r="D15" s="17"/>
    </row>
    <row r="16">
      <c r="A16" s="17"/>
      <c r="B16" s="17"/>
      <c r="C16" s="17"/>
      <c r="D16" s="17"/>
    </row>
    <row r="17">
      <c r="A17" s="17"/>
      <c r="B17" s="17"/>
      <c r="C17" s="17"/>
      <c r="D17" s="17"/>
    </row>
    <row r="18">
      <c r="A18" s="17"/>
      <c r="B18" s="17"/>
      <c r="C18" s="17"/>
      <c r="D18" s="17"/>
    </row>
    <row r="19">
      <c r="A19" s="17"/>
      <c r="B19" s="17"/>
      <c r="C19" s="17"/>
      <c r="D19" s="17"/>
    </row>
    <row r="20">
      <c r="A20" s="17"/>
      <c r="B20" s="17"/>
      <c r="C20" s="17"/>
      <c r="D20" s="17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6.38"/>
    <col customWidth="1" min="2" max="2" width="10.88"/>
    <col customWidth="1" min="3" max="7" width="18.88"/>
    <col customWidth="1" min="8" max="8" width="50.13"/>
  </cols>
  <sheetData>
    <row r="1">
      <c r="A1" s="19"/>
      <c r="B1" s="19"/>
      <c r="C1" s="19" t="s">
        <v>68</v>
      </c>
      <c r="E1" s="19"/>
      <c r="F1" s="20"/>
      <c r="G1" s="20"/>
      <c r="H1" s="19"/>
    </row>
    <row r="2">
      <c r="A2" s="21" t="s">
        <v>69</v>
      </c>
      <c r="B2" s="21" t="s">
        <v>70</v>
      </c>
      <c r="C2" s="21" t="s">
        <v>71</v>
      </c>
      <c r="D2" s="21" t="s">
        <v>72</v>
      </c>
      <c r="E2" s="21" t="s">
        <v>73</v>
      </c>
      <c r="F2" s="22" t="s">
        <v>74</v>
      </c>
      <c r="G2" s="22" t="s">
        <v>75</v>
      </c>
      <c r="H2" s="21" t="s">
        <v>76</v>
      </c>
    </row>
    <row r="3">
      <c r="A3" s="23">
        <v>1.0</v>
      </c>
      <c r="B3" s="24">
        <v>46127.0</v>
      </c>
      <c r="C3" s="15" t="s">
        <v>34</v>
      </c>
      <c r="D3" s="15" t="s">
        <v>50</v>
      </c>
      <c r="E3" s="15" t="s">
        <v>77</v>
      </c>
      <c r="F3" s="15" t="s">
        <v>78</v>
      </c>
      <c r="G3" s="15" t="s">
        <v>79</v>
      </c>
      <c r="H3" s="25"/>
    </row>
    <row r="4">
      <c r="A4" s="23">
        <v>2.0</v>
      </c>
      <c r="B4" s="26">
        <v>46134.0</v>
      </c>
      <c r="C4" s="15" t="s">
        <v>50</v>
      </c>
      <c r="D4" s="15" t="s">
        <v>34</v>
      </c>
      <c r="E4" s="15" t="s">
        <v>77</v>
      </c>
      <c r="F4" s="15" t="s">
        <v>80</v>
      </c>
      <c r="G4" s="15" t="s">
        <v>79</v>
      </c>
      <c r="H4" s="25"/>
    </row>
    <row r="5">
      <c r="A5" s="23">
        <v>3.0</v>
      </c>
      <c r="B5" s="24">
        <v>46141.0</v>
      </c>
      <c r="C5" s="15" t="s">
        <v>34</v>
      </c>
      <c r="D5" s="15" t="s">
        <v>50</v>
      </c>
      <c r="E5" s="15" t="s">
        <v>77</v>
      </c>
      <c r="F5" s="15" t="s">
        <v>81</v>
      </c>
      <c r="G5" s="15" t="s">
        <v>79</v>
      </c>
      <c r="H5" s="25"/>
    </row>
    <row r="6">
      <c r="A6" s="23">
        <v>4.0</v>
      </c>
      <c r="B6" s="26">
        <v>46148.0</v>
      </c>
      <c r="C6" s="15" t="s">
        <v>50</v>
      </c>
      <c r="D6" s="15" t="s">
        <v>34</v>
      </c>
      <c r="E6" s="15" t="s">
        <v>77</v>
      </c>
      <c r="F6" s="15" t="s">
        <v>82</v>
      </c>
      <c r="G6" s="15" t="s">
        <v>79</v>
      </c>
      <c r="H6" s="25"/>
    </row>
    <row r="7">
      <c r="A7" s="23">
        <v>5.0</v>
      </c>
      <c r="B7" s="24">
        <v>46155.0</v>
      </c>
      <c r="C7" s="15" t="s">
        <v>34</v>
      </c>
      <c r="D7" s="15" t="s">
        <v>50</v>
      </c>
      <c r="E7" s="15" t="s">
        <v>77</v>
      </c>
      <c r="F7" s="15" t="s">
        <v>83</v>
      </c>
      <c r="G7" s="15" t="s">
        <v>79</v>
      </c>
      <c r="H7" s="25"/>
    </row>
    <row r="8">
      <c r="A8" s="23">
        <v>6.0</v>
      </c>
      <c r="B8" s="26">
        <v>46162.0</v>
      </c>
      <c r="C8" s="15" t="s">
        <v>50</v>
      </c>
      <c r="D8" s="15" t="s">
        <v>34</v>
      </c>
      <c r="E8" s="15" t="s">
        <v>6</v>
      </c>
      <c r="F8" s="15" t="s">
        <v>82</v>
      </c>
      <c r="G8" s="15" t="s">
        <v>79</v>
      </c>
      <c r="H8" s="25"/>
    </row>
    <row r="9">
      <c r="A9" s="23">
        <v>7.0</v>
      </c>
      <c r="B9" s="24">
        <v>46169.0</v>
      </c>
      <c r="C9" s="15" t="s">
        <v>34</v>
      </c>
      <c r="D9" s="15" t="s">
        <v>50</v>
      </c>
      <c r="E9" s="17"/>
      <c r="F9" s="15" t="s">
        <v>84</v>
      </c>
      <c r="G9" s="15" t="s">
        <v>79</v>
      </c>
      <c r="H9" s="27" t="s">
        <v>85</v>
      </c>
    </row>
    <row r="10">
      <c r="A10" s="23">
        <v>8.0</v>
      </c>
      <c r="B10" s="26">
        <v>46176.0</v>
      </c>
      <c r="C10" s="15" t="s">
        <v>50</v>
      </c>
      <c r="D10" s="15" t="s">
        <v>34</v>
      </c>
      <c r="E10" s="17"/>
      <c r="F10" s="15" t="s">
        <v>86</v>
      </c>
      <c r="G10" s="15" t="s">
        <v>79</v>
      </c>
      <c r="H10" s="25"/>
    </row>
    <row r="11">
      <c r="A11" s="23">
        <v>9.0</v>
      </c>
      <c r="B11" s="24">
        <v>46183.0</v>
      </c>
      <c r="C11" s="15" t="s">
        <v>34</v>
      </c>
      <c r="D11" s="15" t="s">
        <v>50</v>
      </c>
      <c r="E11" s="17"/>
      <c r="F11" s="15" t="s">
        <v>83</v>
      </c>
      <c r="G11" s="15" t="s">
        <v>79</v>
      </c>
      <c r="H11" s="25"/>
    </row>
    <row r="12">
      <c r="A12" s="23">
        <v>10.0</v>
      </c>
      <c r="B12" s="26">
        <v>46190.0</v>
      </c>
      <c r="C12" s="15" t="s">
        <v>50</v>
      </c>
      <c r="D12" s="15" t="s">
        <v>34</v>
      </c>
      <c r="E12" s="17"/>
      <c r="F12" s="15" t="s">
        <v>86</v>
      </c>
      <c r="G12" s="15" t="s">
        <v>79</v>
      </c>
      <c r="H12" s="25"/>
    </row>
    <row r="13">
      <c r="A13" s="23">
        <v>11.0</v>
      </c>
      <c r="B13" s="24">
        <v>46197.0</v>
      </c>
      <c r="C13" s="15" t="s">
        <v>34</v>
      </c>
      <c r="D13" s="15" t="s">
        <v>50</v>
      </c>
      <c r="E13" s="17"/>
      <c r="F13" s="15" t="s">
        <v>81</v>
      </c>
      <c r="G13" s="15" t="s">
        <v>79</v>
      </c>
      <c r="H13" s="25"/>
    </row>
    <row r="14">
      <c r="A14" s="23">
        <v>12.0</v>
      </c>
      <c r="B14" s="26">
        <v>46204.0</v>
      </c>
      <c r="C14" s="15" t="s">
        <v>50</v>
      </c>
      <c r="D14" s="15" t="s">
        <v>34</v>
      </c>
      <c r="E14" s="17"/>
      <c r="F14" s="15" t="s">
        <v>80</v>
      </c>
      <c r="G14" s="15" t="s">
        <v>79</v>
      </c>
      <c r="H14" s="25"/>
    </row>
    <row r="15">
      <c r="A15" s="23">
        <v>13.0</v>
      </c>
      <c r="B15" s="24">
        <v>46211.0</v>
      </c>
      <c r="C15" s="15" t="s">
        <v>34</v>
      </c>
      <c r="D15" s="15" t="s">
        <v>50</v>
      </c>
      <c r="E15" s="17"/>
      <c r="F15" s="15" t="s">
        <v>84</v>
      </c>
      <c r="G15" s="15" t="s">
        <v>79</v>
      </c>
      <c r="H15" s="25"/>
    </row>
    <row r="16">
      <c r="A16" s="23">
        <v>14.0</v>
      </c>
      <c r="B16" s="26">
        <v>46218.0</v>
      </c>
      <c r="C16" s="15" t="s">
        <v>50</v>
      </c>
      <c r="D16" s="15" t="s">
        <v>34</v>
      </c>
      <c r="E16" s="17"/>
      <c r="F16" s="15" t="s">
        <v>87</v>
      </c>
      <c r="G16" s="15" t="s">
        <v>79</v>
      </c>
      <c r="H16" s="27" t="s">
        <v>88</v>
      </c>
    </row>
    <row r="17">
      <c r="A17" s="23">
        <v>15.0</v>
      </c>
      <c r="B17" s="24">
        <v>46225.0</v>
      </c>
      <c r="C17" s="15" t="s">
        <v>34</v>
      </c>
      <c r="D17" s="15" t="s">
        <v>50</v>
      </c>
      <c r="E17" s="17"/>
      <c r="F17" s="15" t="s">
        <v>87</v>
      </c>
      <c r="G17" s="15" t="s">
        <v>79</v>
      </c>
      <c r="H17" s="27" t="s">
        <v>89</v>
      </c>
    </row>
    <row r="18">
      <c r="A18" s="23"/>
      <c r="B18" s="28"/>
      <c r="C18" s="17"/>
      <c r="D18" s="17"/>
      <c r="E18" s="17"/>
      <c r="F18" s="17"/>
      <c r="G18" s="17"/>
      <c r="H18" s="29"/>
    </row>
    <row r="19">
      <c r="A19" s="27" t="s">
        <v>90</v>
      </c>
      <c r="B19" s="30"/>
      <c r="C19" s="31"/>
      <c r="D19" s="31"/>
      <c r="E19" s="31"/>
      <c r="F19" s="31"/>
      <c r="G19" s="31"/>
      <c r="H19" s="29"/>
    </row>
    <row r="20">
      <c r="A20" s="31"/>
      <c r="B20" s="28"/>
      <c r="C20" s="17"/>
      <c r="D20" s="17"/>
      <c r="E20" s="17"/>
      <c r="F20" s="17"/>
      <c r="G20" s="17"/>
      <c r="H20" s="29"/>
    </row>
    <row r="21">
      <c r="A21" s="23"/>
      <c r="B21" s="28"/>
      <c r="C21" s="17"/>
      <c r="D21" s="17"/>
      <c r="E21" s="15" t="s">
        <v>91</v>
      </c>
      <c r="F21" s="17"/>
      <c r="G21" s="17"/>
      <c r="H21" s="29"/>
    </row>
  </sheetData>
  <mergeCells count="1">
    <mergeCell ref="C1:D1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32" t="s">
        <v>92</v>
      </c>
      <c r="B1" s="33" t="s">
        <v>93</v>
      </c>
    </row>
    <row r="2">
      <c r="A2" s="34"/>
      <c r="B2" s="35" t="s">
        <v>94</v>
      </c>
    </row>
    <row r="3">
      <c r="A3" s="36" t="s">
        <v>95</v>
      </c>
      <c r="B3" s="37" t="s">
        <v>96</v>
      </c>
    </row>
    <row r="4">
      <c r="A4" s="34"/>
      <c r="B4" s="35" t="s">
        <v>97</v>
      </c>
    </row>
    <row r="5">
      <c r="A5" s="34"/>
      <c r="B5" s="35" t="s">
        <v>98</v>
      </c>
    </row>
    <row r="6">
      <c r="A6" s="36" t="s">
        <v>99</v>
      </c>
      <c r="B6" s="38" t="s">
        <v>100</v>
      </c>
    </row>
    <row r="7">
      <c r="A7" s="34"/>
      <c r="B7" s="35" t="s">
        <v>101</v>
      </c>
    </row>
    <row r="8">
      <c r="A8" s="36" t="s">
        <v>102</v>
      </c>
      <c r="B8" s="39" t="s">
        <v>103</v>
      </c>
    </row>
    <row r="9">
      <c r="A9" s="34"/>
      <c r="B9" s="40" t="s">
        <v>104</v>
      </c>
    </row>
    <row r="10">
      <c r="A10" s="36" t="s">
        <v>105</v>
      </c>
      <c r="B10" s="37" t="s">
        <v>106</v>
      </c>
    </row>
    <row r="11">
      <c r="A11" s="34"/>
      <c r="B11" s="41" t="s">
        <v>107</v>
      </c>
    </row>
    <row r="12">
      <c r="A12" s="34"/>
      <c r="B12" s="35" t="s">
        <v>108</v>
      </c>
    </row>
    <row r="13">
      <c r="A13" s="36" t="s">
        <v>109</v>
      </c>
      <c r="B13" s="38" t="s">
        <v>110</v>
      </c>
    </row>
    <row r="14">
      <c r="A14" s="42"/>
      <c r="B14" s="40" t="s">
        <v>111</v>
      </c>
    </row>
    <row r="15">
      <c r="A15" s="36" t="s">
        <v>112</v>
      </c>
      <c r="B15" s="38" t="s">
        <v>113</v>
      </c>
    </row>
    <row r="16">
      <c r="A16" s="42"/>
      <c r="B16" s="41" t="s">
        <v>114</v>
      </c>
    </row>
    <row r="17">
      <c r="A17" s="43" t="s">
        <v>115</v>
      </c>
      <c r="B17" s="37" t="s">
        <v>116</v>
      </c>
    </row>
    <row r="18">
      <c r="A18" s="42"/>
      <c r="B18" s="44" t="s">
        <v>117</v>
      </c>
    </row>
    <row r="19">
      <c r="A19" s="43" t="s">
        <v>118</v>
      </c>
      <c r="B19" s="37" t="s">
        <v>119</v>
      </c>
    </row>
    <row r="20">
      <c r="A20" s="42"/>
      <c r="B20" s="42"/>
    </row>
    <row r="21">
      <c r="A21" s="36" t="s">
        <v>120</v>
      </c>
      <c r="B21" s="43"/>
    </row>
    <row r="23">
      <c r="A23" s="45" t="s">
        <v>75</v>
      </c>
      <c r="B23" s="16" t="s">
        <v>79</v>
      </c>
    </row>
    <row r="24">
      <c r="A24" s="45" t="s">
        <v>121</v>
      </c>
      <c r="B24" s="16" t="s">
        <v>122</v>
      </c>
    </row>
    <row r="25">
      <c r="A25" s="45" t="s">
        <v>121</v>
      </c>
      <c r="B25" s="16" t="s">
        <v>123</v>
      </c>
    </row>
    <row r="26">
      <c r="A26" s="45" t="s">
        <v>124</v>
      </c>
      <c r="B26" s="16" t="s">
        <v>82</v>
      </c>
    </row>
    <row r="27">
      <c r="A27" s="45" t="s">
        <v>124</v>
      </c>
      <c r="B27" s="16" t="s">
        <v>84</v>
      </c>
    </row>
    <row r="28">
      <c r="A28" s="45" t="s">
        <v>124</v>
      </c>
      <c r="B28" s="16" t="s">
        <v>81</v>
      </c>
    </row>
    <row r="29">
      <c r="A29" s="45" t="s">
        <v>124</v>
      </c>
      <c r="B29" s="16" t="s">
        <v>86</v>
      </c>
    </row>
    <row r="30">
      <c r="A30" s="45" t="s">
        <v>124</v>
      </c>
      <c r="B30" s="16" t="s">
        <v>83</v>
      </c>
    </row>
    <row r="31">
      <c r="A31" s="45" t="s">
        <v>124</v>
      </c>
      <c r="B31" s="16" t="s">
        <v>87</v>
      </c>
    </row>
    <row r="32">
      <c r="A32" s="16" t="s">
        <v>124</v>
      </c>
      <c r="B32" s="16" t="s">
        <v>80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62.63"/>
  </cols>
  <sheetData>
    <row r="1">
      <c r="A1" s="46" t="s">
        <v>125</v>
      </c>
      <c r="B1" s="46" t="s">
        <v>126</v>
      </c>
    </row>
    <row r="2">
      <c r="A2" s="47"/>
      <c r="B2" s="48"/>
    </row>
    <row r="3">
      <c r="A3" s="49" t="s">
        <v>127</v>
      </c>
      <c r="B3" s="49" t="s">
        <v>128</v>
      </c>
    </row>
  </sheetData>
  <mergeCells count="2">
    <mergeCell ref="A3:A20"/>
    <mergeCell ref="B3:B2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50" t="s">
        <v>129</v>
      </c>
      <c r="B1" s="50" t="s">
        <v>130</v>
      </c>
    </row>
    <row r="2">
      <c r="A2" s="3"/>
      <c r="B2" s="3"/>
    </row>
    <row r="3">
      <c r="A3" s="3"/>
      <c r="B3" s="3"/>
    </row>
    <row r="4">
      <c r="A4" s="3"/>
      <c r="B4" s="3"/>
    </row>
    <row r="5">
      <c r="A5" s="3"/>
      <c r="B5" s="3"/>
    </row>
    <row r="6">
      <c r="A6" s="3"/>
      <c r="B6" s="3"/>
    </row>
    <row r="7">
      <c r="A7" s="3"/>
      <c r="B7" s="3"/>
    </row>
    <row r="8">
      <c r="A8" s="3"/>
      <c r="B8" s="3"/>
    </row>
    <row r="9">
      <c r="A9" s="3"/>
      <c r="B9" s="3"/>
    </row>
    <row r="10">
      <c r="A10" s="3"/>
      <c r="B10" s="3"/>
    </row>
    <row r="11">
      <c r="A11" s="3"/>
      <c r="B11" s="3"/>
    </row>
    <row r="12">
      <c r="A12" s="3"/>
      <c r="B12" s="3"/>
    </row>
    <row r="13">
      <c r="A13" s="3"/>
      <c r="B13" s="3"/>
    </row>
    <row r="14">
      <c r="A14" s="3"/>
      <c r="B14" s="3"/>
    </row>
    <row r="15">
      <c r="A15" s="3"/>
      <c r="B15" s="3"/>
    </row>
    <row r="16">
      <c r="A16" s="3"/>
      <c r="B16" s="3"/>
    </row>
    <row r="17">
      <c r="A17" s="3"/>
      <c r="B17" s="3"/>
    </row>
    <row r="18">
      <c r="A18" s="3"/>
      <c r="B18" s="3"/>
    </row>
    <row r="19">
      <c r="A19" s="3"/>
      <c r="B19" s="3"/>
    </row>
    <row r="20">
      <c r="A20" s="3"/>
      <c r="B20" s="3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2.63"/>
    <col customWidth="1" min="2" max="2" width="112.63"/>
  </cols>
  <sheetData>
    <row r="1">
      <c r="A1" s="51" t="s">
        <v>131</v>
      </c>
      <c r="B1" s="4" t="s">
        <v>132</v>
      </c>
    </row>
    <row r="2">
      <c r="A2" s="52">
        <v>1.0</v>
      </c>
      <c r="B2" s="2" t="s">
        <v>133</v>
      </c>
    </row>
    <row r="3">
      <c r="A3" s="52">
        <f t="shared" ref="A3:A16" si="1">A2+1</f>
        <v>2</v>
      </c>
      <c r="B3" s="2" t="s">
        <v>133</v>
      </c>
    </row>
    <row r="4">
      <c r="A4" s="52">
        <f t="shared" si="1"/>
        <v>3</v>
      </c>
      <c r="B4" s="2" t="s">
        <v>133</v>
      </c>
    </row>
    <row r="5">
      <c r="A5" s="52">
        <f t="shared" si="1"/>
        <v>4</v>
      </c>
      <c r="B5" s="16" t="s">
        <v>134</v>
      </c>
    </row>
    <row r="6">
      <c r="A6" s="52">
        <f t="shared" si="1"/>
        <v>5</v>
      </c>
      <c r="B6" s="2" t="s">
        <v>135</v>
      </c>
    </row>
    <row r="7">
      <c r="A7" s="52">
        <f t="shared" si="1"/>
        <v>6</v>
      </c>
      <c r="B7" s="3"/>
    </row>
    <row r="8">
      <c r="A8" s="52">
        <f t="shared" si="1"/>
        <v>7</v>
      </c>
      <c r="B8" s="3"/>
    </row>
    <row r="9">
      <c r="A9" s="52">
        <f t="shared" si="1"/>
        <v>8</v>
      </c>
      <c r="B9" s="3"/>
    </row>
    <row r="10">
      <c r="A10" s="52">
        <f t="shared" si="1"/>
        <v>9</v>
      </c>
      <c r="B10" s="3"/>
    </row>
    <row r="11">
      <c r="A11" s="52">
        <f t="shared" si="1"/>
        <v>10</v>
      </c>
      <c r="B11" s="3"/>
    </row>
    <row r="12">
      <c r="A12" s="52">
        <f t="shared" si="1"/>
        <v>11</v>
      </c>
      <c r="B12" s="3"/>
    </row>
    <row r="13">
      <c r="A13" s="52">
        <f t="shared" si="1"/>
        <v>12</v>
      </c>
      <c r="B13" s="3"/>
    </row>
    <row r="14">
      <c r="A14" s="52">
        <f t="shared" si="1"/>
        <v>13</v>
      </c>
      <c r="B14" s="3"/>
    </row>
    <row r="15">
      <c r="A15" s="52">
        <f t="shared" si="1"/>
        <v>14</v>
      </c>
      <c r="B15" s="3"/>
    </row>
    <row r="16">
      <c r="A16" s="52">
        <f t="shared" si="1"/>
        <v>15</v>
      </c>
      <c r="B16" s="3"/>
    </row>
    <row r="17">
      <c r="A17" s="52"/>
      <c r="B17" s="3"/>
    </row>
    <row r="18">
      <c r="A18" s="52"/>
      <c r="B18" s="3"/>
    </row>
    <row r="19">
      <c r="A19" s="53"/>
      <c r="B19" s="3"/>
    </row>
    <row r="20">
      <c r="A20" s="53"/>
      <c r="B20" s="3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2.63"/>
    <col customWidth="1" min="2" max="2" width="112.63"/>
  </cols>
  <sheetData>
    <row r="1">
      <c r="A1" s="51" t="s">
        <v>131</v>
      </c>
      <c r="B1" s="4" t="s">
        <v>136</v>
      </c>
    </row>
    <row r="2">
      <c r="A2" s="52">
        <v>1.0</v>
      </c>
      <c r="B2" s="2"/>
    </row>
    <row r="3">
      <c r="A3" s="52">
        <f t="shared" ref="A3:A16" si="1">A2+1</f>
        <v>2</v>
      </c>
      <c r="B3" s="2"/>
    </row>
    <row r="4">
      <c r="A4" s="52">
        <f t="shared" si="1"/>
        <v>3</v>
      </c>
      <c r="B4" s="2"/>
    </row>
    <row r="5">
      <c r="A5" s="52">
        <f t="shared" si="1"/>
        <v>4</v>
      </c>
    </row>
    <row r="6">
      <c r="A6" s="52">
        <f t="shared" si="1"/>
        <v>5</v>
      </c>
      <c r="B6" s="2"/>
    </row>
    <row r="7">
      <c r="A7" s="52">
        <f t="shared" si="1"/>
        <v>6</v>
      </c>
      <c r="B7" s="3"/>
    </row>
    <row r="8">
      <c r="A8" s="52">
        <f t="shared" si="1"/>
        <v>7</v>
      </c>
      <c r="B8" s="3"/>
    </row>
    <row r="9">
      <c r="A9" s="52">
        <f t="shared" si="1"/>
        <v>8</v>
      </c>
      <c r="B9" s="3"/>
    </row>
    <row r="10">
      <c r="A10" s="52">
        <f t="shared" si="1"/>
        <v>9</v>
      </c>
      <c r="B10" s="3"/>
    </row>
    <row r="11">
      <c r="A11" s="52">
        <f t="shared" si="1"/>
        <v>10</v>
      </c>
      <c r="B11" s="3"/>
    </row>
    <row r="12">
      <c r="A12" s="52">
        <f t="shared" si="1"/>
        <v>11</v>
      </c>
      <c r="B12" s="3"/>
    </row>
    <row r="13">
      <c r="A13" s="52">
        <f t="shared" si="1"/>
        <v>12</v>
      </c>
      <c r="B13" s="3"/>
    </row>
    <row r="14">
      <c r="A14" s="52">
        <f t="shared" si="1"/>
        <v>13</v>
      </c>
      <c r="B14" s="3"/>
    </row>
    <row r="15">
      <c r="A15" s="52">
        <f t="shared" si="1"/>
        <v>14</v>
      </c>
      <c r="B15" s="3"/>
    </row>
    <row r="16">
      <c r="A16" s="52">
        <f t="shared" si="1"/>
        <v>15</v>
      </c>
      <c r="B16" s="3"/>
    </row>
    <row r="17">
      <c r="A17" s="52"/>
      <c r="B17" s="3"/>
    </row>
    <row r="18">
      <c r="A18" s="52"/>
      <c r="B18" s="54" t="s">
        <v>137</v>
      </c>
    </row>
    <row r="19">
      <c r="A19" s="53"/>
      <c r="B19" s="3"/>
    </row>
    <row r="20">
      <c r="A20" s="53"/>
      <c r="B20" s="3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6.38"/>
    <col customWidth="1" min="3" max="3" width="62.63"/>
    <col customWidth="1" min="4" max="7" width="15.75"/>
  </cols>
  <sheetData>
    <row r="1">
      <c r="A1" s="55" t="s">
        <v>138</v>
      </c>
      <c r="B1" s="56" t="s">
        <v>139</v>
      </c>
      <c r="C1" s="57" t="s">
        <v>140</v>
      </c>
      <c r="D1" s="58" t="s">
        <v>141</v>
      </c>
      <c r="E1" s="58" t="s">
        <v>142</v>
      </c>
      <c r="F1" s="58" t="s">
        <v>143</v>
      </c>
      <c r="G1" s="58" t="s">
        <v>144</v>
      </c>
    </row>
    <row r="2">
      <c r="A2" s="59"/>
      <c r="B2" s="60"/>
      <c r="C2" s="61"/>
      <c r="D2" s="61"/>
      <c r="E2" s="61"/>
      <c r="F2" s="61"/>
      <c r="G2" s="61"/>
    </row>
    <row r="3">
      <c r="A3" s="62" t="s">
        <v>145</v>
      </c>
      <c r="B3" s="63"/>
      <c r="C3" s="64"/>
      <c r="D3" s="64"/>
      <c r="E3" s="64"/>
      <c r="F3" s="64"/>
      <c r="G3" s="64"/>
    </row>
    <row r="4">
      <c r="A4" s="59"/>
      <c r="B4" s="60"/>
      <c r="C4" s="61"/>
      <c r="D4" s="61"/>
      <c r="E4" s="61"/>
      <c r="F4" s="61"/>
      <c r="G4" s="61"/>
    </row>
    <row r="5">
      <c r="A5" s="65" t="s">
        <v>146</v>
      </c>
      <c r="B5" s="66"/>
      <c r="C5" s="42"/>
      <c r="D5" s="67">
        <f>sum(D8:D13)</f>
        <v>0</v>
      </c>
      <c r="E5" s="67">
        <f>D5</f>
        <v>0</v>
      </c>
      <c r="F5" s="42"/>
      <c r="G5" s="42"/>
    </row>
    <row r="6">
      <c r="A6" s="59"/>
      <c r="B6" s="60"/>
      <c r="C6" s="61"/>
      <c r="D6" s="61"/>
      <c r="E6" s="61"/>
      <c r="F6" s="61"/>
      <c r="G6" s="61"/>
    </row>
    <row r="7">
      <c r="A7" s="68" t="s">
        <v>147</v>
      </c>
      <c r="B7" s="69"/>
      <c r="C7" s="70"/>
      <c r="D7" s="70"/>
      <c r="E7" s="70"/>
      <c r="F7" s="70"/>
      <c r="G7" s="70"/>
    </row>
    <row r="8">
      <c r="A8" s="59"/>
      <c r="B8" s="60"/>
      <c r="C8" s="61"/>
      <c r="D8" s="61"/>
      <c r="E8" s="71" t="s">
        <v>148</v>
      </c>
      <c r="F8" s="61"/>
      <c r="G8" s="71" t="s">
        <v>149</v>
      </c>
    </row>
    <row r="9">
      <c r="A9" s="72">
        <v>1.0</v>
      </c>
      <c r="B9" s="65"/>
      <c r="C9" s="42"/>
      <c r="D9" s="67">
        <f>sum(D16:D21)</f>
        <v>0</v>
      </c>
      <c r="E9" s="67">
        <f>$D$5</f>
        <v>0</v>
      </c>
      <c r="F9" s="67">
        <f>sum(F16:F21)</f>
        <v>0</v>
      </c>
      <c r="G9" s="67">
        <f>$D$5</f>
        <v>0</v>
      </c>
    </row>
    <row r="10">
      <c r="A10" s="59">
        <f t="shared" ref="A10:A11" si="1">A9+1</f>
        <v>2</v>
      </c>
      <c r="B10" s="60"/>
      <c r="C10" s="61"/>
      <c r="D10" s="73">
        <f>sum(D22:D27)</f>
        <v>0</v>
      </c>
      <c r="E10" s="73">
        <f t="shared" ref="E10:E12" si="2">E9-D9</f>
        <v>0</v>
      </c>
      <c r="F10" s="73">
        <f>sum(F22:F27)</f>
        <v>0</v>
      </c>
      <c r="G10" s="73">
        <f t="shared" ref="G10:G12" si="3">G9-F9</f>
        <v>0</v>
      </c>
    </row>
    <row r="11">
      <c r="A11" s="72">
        <f t="shared" si="1"/>
        <v>3</v>
      </c>
      <c r="B11" s="65"/>
      <c r="C11" s="42"/>
      <c r="D11" s="67">
        <f>sum(D28:D33)</f>
        <v>0</v>
      </c>
      <c r="E11" s="67">
        <f t="shared" si="2"/>
        <v>0</v>
      </c>
      <c r="F11" s="67">
        <f>sum(F28:F33)</f>
        <v>0</v>
      </c>
      <c r="G11" s="67">
        <f t="shared" si="3"/>
        <v>0</v>
      </c>
    </row>
    <row r="12">
      <c r="A12" s="74" t="s">
        <v>6</v>
      </c>
      <c r="B12" s="75"/>
      <c r="C12" s="61"/>
      <c r="D12" s="61"/>
      <c r="E12" s="73">
        <f t="shared" si="2"/>
        <v>0</v>
      </c>
      <c r="F12" s="61"/>
      <c r="G12" s="73">
        <f t="shared" si="3"/>
        <v>0</v>
      </c>
    </row>
    <row r="13">
      <c r="A13" s="72"/>
      <c r="B13" s="65"/>
      <c r="C13" s="42"/>
      <c r="D13" s="42"/>
      <c r="E13" s="42"/>
      <c r="F13" s="42"/>
      <c r="G13" s="42"/>
    </row>
    <row r="14">
      <c r="A14" s="76" t="s">
        <v>150</v>
      </c>
      <c r="B14" s="77"/>
      <c r="C14" s="78"/>
      <c r="D14" s="78"/>
      <c r="E14" s="78"/>
      <c r="F14" s="78"/>
      <c r="G14" s="78"/>
    </row>
    <row r="15">
      <c r="A15" s="72"/>
      <c r="B15" s="65"/>
      <c r="C15" s="42"/>
      <c r="D15" s="42"/>
      <c r="E15" s="42"/>
      <c r="F15" s="42"/>
      <c r="G15" s="42"/>
    </row>
    <row r="16">
      <c r="A16" s="79">
        <f t="shared" ref="A16:B16" si="4">A9</f>
        <v>1</v>
      </c>
      <c r="B16" s="80" t="str">
        <f t="shared" si="4"/>
        <v/>
      </c>
      <c r="C16" s="61"/>
      <c r="D16" s="61"/>
      <c r="E16" s="61"/>
      <c r="F16" s="61"/>
      <c r="G16" s="61"/>
    </row>
    <row r="17">
      <c r="A17" s="72"/>
      <c r="B17" s="81"/>
      <c r="C17" s="42"/>
      <c r="D17" s="42"/>
      <c r="E17" s="42"/>
      <c r="F17" s="42"/>
      <c r="G17" s="42"/>
    </row>
    <row r="18">
      <c r="A18" s="59"/>
      <c r="B18" s="60"/>
      <c r="C18" s="75"/>
      <c r="D18" s="82"/>
      <c r="E18" s="60"/>
      <c r="F18" s="82"/>
      <c r="G18" s="60"/>
    </row>
    <row r="19">
      <c r="A19" s="72"/>
      <c r="B19" s="81"/>
      <c r="C19" s="42"/>
      <c r="D19" s="67"/>
      <c r="E19" s="42"/>
      <c r="F19" s="67"/>
      <c r="G19" s="42"/>
    </row>
    <row r="20">
      <c r="A20" s="83"/>
      <c r="B20" s="75"/>
      <c r="C20" s="75"/>
      <c r="D20" s="73"/>
      <c r="E20" s="75"/>
      <c r="F20" s="73"/>
      <c r="G20" s="75"/>
    </row>
    <row r="21">
      <c r="A21" s="72"/>
      <c r="B21" s="81"/>
      <c r="C21" s="42"/>
      <c r="D21" s="67"/>
      <c r="E21" s="42"/>
      <c r="F21" s="67"/>
      <c r="G21" s="42"/>
    </row>
    <row r="22">
      <c r="A22" s="79">
        <f t="shared" ref="A22:B22" si="5">A10</f>
        <v>2</v>
      </c>
      <c r="B22" s="80" t="str">
        <f t="shared" si="5"/>
        <v/>
      </c>
      <c r="C22" s="61"/>
      <c r="D22" s="61"/>
      <c r="E22" s="61"/>
      <c r="F22" s="61"/>
      <c r="G22" s="61"/>
    </row>
    <row r="23">
      <c r="A23" s="72"/>
      <c r="B23" s="81"/>
      <c r="C23" s="42"/>
      <c r="D23" s="42"/>
      <c r="E23" s="42"/>
      <c r="F23" s="42"/>
      <c r="G23" s="42"/>
    </row>
    <row r="24">
      <c r="A24" s="83"/>
      <c r="B24" s="75"/>
      <c r="C24" s="75"/>
      <c r="D24" s="73"/>
      <c r="E24" s="75"/>
      <c r="F24" s="73"/>
      <c r="G24" s="75"/>
    </row>
    <row r="25">
      <c r="A25" s="72"/>
      <c r="B25" s="81"/>
      <c r="C25" s="42"/>
      <c r="D25" s="67"/>
      <c r="E25" s="42"/>
      <c r="F25" s="67"/>
      <c r="G25" s="42"/>
    </row>
    <row r="26">
      <c r="A26" s="83"/>
      <c r="B26" s="75"/>
      <c r="C26" s="75"/>
      <c r="D26" s="73"/>
      <c r="E26" s="75"/>
      <c r="F26" s="73"/>
      <c r="G26" s="75"/>
    </row>
    <row r="27">
      <c r="A27" s="72"/>
      <c r="B27" s="81"/>
      <c r="C27" s="42"/>
      <c r="D27" s="67"/>
      <c r="E27" s="42"/>
      <c r="F27" s="67"/>
      <c r="G27" s="42"/>
    </row>
    <row r="28">
      <c r="A28" s="79">
        <f t="shared" ref="A28:B28" si="6">A11</f>
        <v>3</v>
      </c>
      <c r="B28" s="80" t="str">
        <f t="shared" si="6"/>
        <v/>
      </c>
      <c r="C28" s="61"/>
      <c r="D28" s="61"/>
      <c r="E28" s="61"/>
      <c r="F28" s="61"/>
      <c r="G28" s="61"/>
    </row>
    <row r="29">
      <c r="A29" s="72"/>
      <c r="B29" s="81"/>
      <c r="C29" s="42"/>
      <c r="D29" s="42"/>
      <c r="E29" s="42"/>
      <c r="F29" s="42"/>
      <c r="G29" s="42"/>
    </row>
    <row r="30">
      <c r="A30" s="83"/>
      <c r="B30" s="75"/>
      <c r="C30" s="75"/>
      <c r="D30" s="73"/>
      <c r="E30" s="75"/>
      <c r="F30" s="75"/>
      <c r="G30" s="75"/>
    </row>
    <row r="31">
      <c r="A31" s="72"/>
      <c r="B31" s="81"/>
      <c r="C31" s="42"/>
      <c r="D31" s="67"/>
      <c r="E31" s="42"/>
      <c r="F31" s="42"/>
      <c r="G31" s="42"/>
    </row>
    <row r="32">
      <c r="A32" s="83"/>
      <c r="B32" s="75"/>
      <c r="C32" s="61"/>
      <c r="D32" s="73"/>
      <c r="E32" s="75"/>
      <c r="F32" s="75"/>
      <c r="G32" s="75"/>
    </row>
    <row r="33">
      <c r="A33" s="72"/>
      <c r="B33" s="81"/>
      <c r="C33" s="84" t="s">
        <v>151</v>
      </c>
      <c r="D33" s="67"/>
      <c r="E33" s="42"/>
      <c r="F33" s="42"/>
      <c r="G33" s="42"/>
    </row>
    <row r="34">
      <c r="A34" s="83"/>
      <c r="B34" s="75"/>
      <c r="C34" s="61"/>
      <c r="D34" s="61"/>
      <c r="E34" s="61"/>
      <c r="F34" s="61"/>
      <c r="G34" s="61"/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6.38"/>
    <col customWidth="1" min="3" max="3" width="62.63"/>
    <col customWidth="1" min="4" max="7" width="15.75"/>
  </cols>
  <sheetData>
    <row r="1">
      <c r="A1" s="55" t="s">
        <v>138</v>
      </c>
      <c r="B1" s="85" t="s">
        <v>139</v>
      </c>
      <c r="C1" s="57" t="s">
        <v>140</v>
      </c>
      <c r="D1" s="58" t="s">
        <v>141</v>
      </c>
      <c r="E1" s="58" t="s">
        <v>142</v>
      </c>
      <c r="F1" s="58" t="s">
        <v>143</v>
      </c>
      <c r="G1" s="58" t="s">
        <v>144</v>
      </c>
    </row>
    <row r="2">
      <c r="A2" s="59"/>
      <c r="B2" s="61"/>
      <c r="C2" s="61"/>
      <c r="D2" s="61"/>
      <c r="E2" s="61"/>
      <c r="F2" s="61"/>
      <c r="G2" s="61"/>
    </row>
    <row r="3">
      <c r="A3" s="62" t="s">
        <v>145</v>
      </c>
      <c r="B3" s="64"/>
      <c r="C3" s="64"/>
      <c r="D3" s="64"/>
      <c r="E3" s="64"/>
      <c r="F3" s="64"/>
      <c r="G3" s="64"/>
    </row>
    <row r="4">
      <c r="A4" s="59"/>
      <c r="B4" s="61"/>
      <c r="C4" s="61"/>
      <c r="D4" s="61"/>
      <c r="E4" s="61"/>
      <c r="F4" s="61"/>
      <c r="G4" s="61"/>
    </row>
    <row r="5">
      <c r="A5" s="65" t="s">
        <v>146</v>
      </c>
      <c r="B5" s="42"/>
      <c r="C5" s="42"/>
      <c r="D5" s="67">
        <f>sum(D8:D13)</f>
        <v>0</v>
      </c>
      <c r="E5" s="67">
        <f>D5</f>
        <v>0</v>
      </c>
      <c r="F5" s="42"/>
      <c r="G5" s="42"/>
    </row>
    <row r="6">
      <c r="A6" s="59"/>
      <c r="B6" s="61"/>
      <c r="C6" s="61"/>
      <c r="D6" s="61"/>
      <c r="E6" s="61"/>
      <c r="F6" s="61"/>
      <c r="G6" s="61"/>
    </row>
    <row r="7">
      <c r="A7" s="68" t="s">
        <v>147</v>
      </c>
      <c r="B7" s="86"/>
      <c r="C7" s="70"/>
      <c r="D7" s="70"/>
      <c r="E7" s="70"/>
      <c r="F7" s="70"/>
      <c r="G7" s="70"/>
    </row>
    <row r="8">
      <c r="A8" s="59"/>
      <c r="B8" s="61"/>
      <c r="C8" s="61"/>
      <c r="D8" s="61"/>
      <c r="E8" s="71" t="s">
        <v>148</v>
      </c>
      <c r="F8" s="61"/>
      <c r="G8" s="71" t="s">
        <v>149</v>
      </c>
    </row>
    <row r="9">
      <c r="A9" s="72">
        <v>1.0</v>
      </c>
      <c r="B9" s="42"/>
      <c r="C9" s="42"/>
      <c r="D9" s="67">
        <f>sum(D16:D21)</f>
        <v>0</v>
      </c>
      <c r="E9" s="67">
        <f>$D$5</f>
        <v>0</v>
      </c>
      <c r="F9" s="67">
        <f>sum(F16:F21)</f>
        <v>0</v>
      </c>
      <c r="G9" s="67">
        <f>$D$5</f>
        <v>0</v>
      </c>
    </row>
    <row r="10">
      <c r="A10" s="59">
        <f t="shared" ref="A10:A11" si="1">A9+1</f>
        <v>2</v>
      </c>
      <c r="B10" s="61"/>
      <c r="C10" s="61"/>
      <c r="D10" s="73">
        <f>sum(D22:D27)</f>
        <v>0</v>
      </c>
      <c r="E10" s="73">
        <f t="shared" ref="E10:E12" si="2">E9-D9</f>
        <v>0</v>
      </c>
      <c r="F10" s="73">
        <f>sum(F22:F27)</f>
        <v>0</v>
      </c>
      <c r="G10" s="73">
        <f t="shared" ref="G10:G12" si="3">G9-F9</f>
        <v>0</v>
      </c>
    </row>
    <row r="11">
      <c r="A11" s="72">
        <f t="shared" si="1"/>
        <v>3</v>
      </c>
      <c r="B11" s="42"/>
      <c r="C11" s="42"/>
      <c r="D11" s="67">
        <f>sum(D28:D33)</f>
        <v>0</v>
      </c>
      <c r="E11" s="67">
        <f t="shared" si="2"/>
        <v>0</v>
      </c>
      <c r="F11" s="67">
        <f>sum(F28:F33)</f>
        <v>0</v>
      </c>
      <c r="G11" s="67">
        <f t="shared" si="3"/>
        <v>0</v>
      </c>
    </row>
    <row r="12">
      <c r="A12" s="74" t="s">
        <v>6</v>
      </c>
      <c r="B12" s="61"/>
      <c r="C12" s="61"/>
      <c r="D12" s="61"/>
      <c r="E12" s="73">
        <f t="shared" si="2"/>
        <v>0</v>
      </c>
      <c r="F12" s="61"/>
      <c r="G12" s="73">
        <f t="shared" si="3"/>
        <v>0</v>
      </c>
    </row>
    <row r="13">
      <c r="A13" s="72"/>
      <c r="B13" s="42"/>
      <c r="C13" s="42"/>
      <c r="D13" s="42"/>
      <c r="E13" s="42"/>
      <c r="F13" s="42"/>
      <c r="G13" s="42"/>
    </row>
    <row r="14">
      <c r="A14" s="76" t="s">
        <v>150</v>
      </c>
      <c r="B14" s="77"/>
      <c r="C14" s="78"/>
      <c r="D14" s="78"/>
      <c r="E14" s="78"/>
      <c r="F14" s="78"/>
      <c r="G14" s="78"/>
    </row>
    <row r="15">
      <c r="A15" s="72"/>
      <c r="B15" s="42"/>
      <c r="C15" s="42"/>
      <c r="D15" s="42"/>
      <c r="E15" s="42"/>
      <c r="F15" s="42"/>
      <c r="G15" s="42"/>
    </row>
    <row r="16">
      <c r="A16" s="79">
        <f>A9</f>
        <v>1</v>
      </c>
      <c r="B16" s="61"/>
      <c r="C16" s="61"/>
      <c r="D16" s="61"/>
      <c r="E16" s="61"/>
      <c r="F16" s="61"/>
      <c r="G16" s="61"/>
    </row>
    <row r="17">
      <c r="A17" s="72"/>
      <c r="B17" s="81"/>
      <c r="C17" s="42"/>
      <c r="D17" s="42"/>
      <c r="E17" s="42"/>
      <c r="F17" s="42"/>
      <c r="G17" s="42"/>
    </row>
    <row r="18">
      <c r="A18" s="59"/>
      <c r="B18" s="87"/>
      <c r="C18" s="75"/>
      <c r="D18" s="82"/>
      <c r="E18" s="60"/>
      <c r="F18" s="82"/>
      <c r="G18" s="60"/>
    </row>
    <row r="19">
      <c r="A19" s="72"/>
      <c r="B19" s="42"/>
      <c r="C19" s="42"/>
      <c r="D19" s="67"/>
      <c r="E19" s="42"/>
      <c r="F19" s="67"/>
      <c r="G19" s="42"/>
    </row>
    <row r="20">
      <c r="A20" s="83"/>
      <c r="B20" s="61"/>
      <c r="C20" s="75"/>
      <c r="D20" s="73"/>
      <c r="E20" s="75"/>
      <c r="F20" s="73"/>
      <c r="G20" s="75"/>
    </row>
    <row r="21">
      <c r="A21" s="72"/>
      <c r="B21" s="42"/>
      <c r="C21" s="42"/>
      <c r="D21" s="67"/>
      <c r="E21" s="42"/>
      <c r="F21" s="67"/>
      <c r="G21" s="42"/>
    </row>
    <row r="22">
      <c r="A22" s="79">
        <f>A10</f>
        <v>2</v>
      </c>
      <c r="B22" s="61"/>
      <c r="C22" s="61"/>
      <c r="D22" s="61"/>
      <c r="E22" s="61"/>
      <c r="F22" s="61"/>
      <c r="G22" s="61"/>
    </row>
    <row r="23">
      <c r="A23" s="72"/>
      <c r="B23" s="81"/>
      <c r="C23" s="42"/>
      <c r="D23" s="42"/>
      <c r="E23" s="42"/>
      <c r="F23" s="42"/>
      <c r="G23" s="42"/>
    </row>
    <row r="24">
      <c r="A24" s="83"/>
      <c r="B24" s="61"/>
      <c r="C24" s="75"/>
      <c r="D24" s="73"/>
      <c r="E24" s="75"/>
      <c r="F24" s="73"/>
      <c r="G24" s="75"/>
    </row>
    <row r="25">
      <c r="A25" s="72"/>
      <c r="B25" s="42"/>
      <c r="C25" s="42"/>
      <c r="D25" s="67"/>
      <c r="E25" s="42"/>
      <c r="F25" s="67"/>
      <c r="G25" s="42"/>
    </row>
    <row r="26">
      <c r="A26" s="83"/>
      <c r="B26" s="61"/>
      <c r="C26" s="75"/>
      <c r="D26" s="73"/>
      <c r="E26" s="75"/>
      <c r="F26" s="73"/>
      <c r="G26" s="75"/>
    </row>
    <row r="27">
      <c r="A27" s="72"/>
      <c r="B27" s="42"/>
      <c r="C27" s="42"/>
      <c r="D27" s="67"/>
      <c r="E27" s="42"/>
      <c r="F27" s="67"/>
      <c r="G27" s="42"/>
    </row>
    <row r="28">
      <c r="A28" s="79">
        <f>A11</f>
        <v>3</v>
      </c>
      <c r="B28" s="61"/>
      <c r="C28" s="61"/>
      <c r="D28" s="61"/>
      <c r="E28" s="61"/>
      <c r="F28" s="61"/>
      <c r="G28" s="61"/>
    </row>
    <row r="29">
      <c r="A29" s="72"/>
      <c r="B29" s="81"/>
      <c r="C29" s="42"/>
      <c r="D29" s="42"/>
      <c r="E29" s="42"/>
      <c r="F29" s="42"/>
      <c r="G29" s="42"/>
    </row>
    <row r="30">
      <c r="A30" s="83"/>
      <c r="B30" s="61"/>
      <c r="C30" s="75"/>
      <c r="D30" s="73"/>
      <c r="E30" s="75"/>
      <c r="F30" s="75"/>
      <c r="G30" s="75"/>
    </row>
    <row r="31">
      <c r="A31" s="72"/>
      <c r="B31" s="42"/>
      <c r="C31" s="42"/>
      <c r="D31" s="67"/>
      <c r="E31" s="42"/>
      <c r="F31" s="42"/>
      <c r="G31" s="42"/>
    </row>
    <row r="32">
      <c r="A32" s="83"/>
      <c r="B32" s="61"/>
      <c r="C32" s="61"/>
      <c r="D32" s="73"/>
      <c r="E32" s="75"/>
      <c r="F32" s="75"/>
      <c r="G32" s="75"/>
    </row>
    <row r="33">
      <c r="A33" s="72"/>
      <c r="B33" s="42"/>
      <c r="C33" s="84" t="s">
        <v>151</v>
      </c>
      <c r="D33" s="67"/>
      <c r="E33" s="42"/>
      <c r="F33" s="42"/>
      <c r="G33" s="42"/>
    </row>
    <row r="34">
      <c r="A34" s="83"/>
      <c r="B34" s="61"/>
      <c r="C34" s="61"/>
      <c r="D34" s="61"/>
      <c r="E34" s="61"/>
      <c r="F34" s="61"/>
      <c r="G34" s="61"/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5.13"/>
    <col customWidth="1" min="2" max="4" width="40.13"/>
  </cols>
  <sheetData>
    <row r="1">
      <c r="A1" s="88" t="s">
        <v>69</v>
      </c>
      <c r="B1" s="56" t="s">
        <v>152</v>
      </c>
      <c r="C1" s="56" t="s">
        <v>153</v>
      </c>
      <c r="D1" s="89" t="s">
        <v>154</v>
      </c>
    </row>
    <row r="2">
      <c r="A2" s="3"/>
      <c r="B2" s="3"/>
      <c r="C2" s="3"/>
      <c r="D2" s="3"/>
    </row>
    <row r="3">
      <c r="A3" s="3"/>
      <c r="B3" s="3"/>
      <c r="C3" s="3"/>
      <c r="D3" s="3"/>
    </row>
    <row r="4">
      <c r="A4" s="3"/>
      <c r="B4" s="3"/>
      <c r="C4" s="3"/>
      <c r="D4" s="3"/>
    </row>
    <row r="5">
      <c r="A5" s="3"/>
      <c r="B5" s="3"/>
      <c r="C5" s="3"/>
      <c r="D5" s="3"/>
    </row>
    <row r="6">
      <c r="A6" s="3"/>
      <c r="B6" s="3"/>
      <c r="C6" s="3"/>
      <c r="D6" s="3"/>
    </row>
    <row r="7">
      <c r="A7" s="3"/>
      <c r="B7" s="3"/>
      <c r="C7" s="3"/>
      <c r="D7" s="3"/>
    </row>
    <row r="8">
      <c r="A8" s="3"/>
      <c r="B8" s="3"/>
      <c r="C8" s="3"/>
      <c r="D8" s="3"/>
    </row>
    <row r="9">
      <c r="A9" s="3"/>
      <c r="B9" s="3"/>
      <c r="C9" s="3"/>
      <c r="D9" s="3"/>
    </row>
    <row r="10">
      <c r="A10" s="3"/>
      <c r="B10" s="3"/>
      <c r="C10" s="3"/>
      <c r="D10" s="3"/>
    </row>
    <row r="11">
      <c r="A11" s="3"/>
      <c r="B11" s="3"/>
      <c r="C11" s="3"/>
      <c r="D11" s="3"/>
    </row>
    <row r="12">
      <c r="A12" s="3"/>
      <c r="B12" s="3"/>
      <c r="C12" s="3"/>
      <c r="D12" s="3"/>
    </row>
    <row r="13">
      <c r="A13" s="3"/>
      <c r="B13" s="3"/>
      <c r="C13" s="3"/>
      <c r="D13" s="3"/>
    </row>
    <row r="14">
      <c r="A14" s="3"/>
      <c r="B14" s="3"/>
      <c r="C14" s="3"/>
      <c r="D14" s="3"/>
    </row>
    <row r="15">
      <c r="A15" s="3"/>
      <c r="B15" s="3"/>
      <c r="C15" s="3"/>
      <c r="D15" s="3"/>
    </row>
    <row r="16">
      <c r="A16" s="3"/>
      <c r="B16" s="3"/>
      <c r="C16" s="3"/>
      <c r="D16" s="3"/>
    </row>
    <row r="17">
      <c r="A17" s="3"/>
      <c r="B17" s="3"/>
      <c r="C17" s="3"/>
      <c r="D17" s="3"/>
    </row>
    <row r="18">
      <c r="A18" s="3"/>
      <c r="B18" s="3"/>
      <c r="C18" s="3"/>
      <c r="D18" s="3"/>
    </row>
    <row r="19">
      <c r="A19" s="3"/>
      <c r="B19" s="3"/>
      <c r="C19" s="3"/>
      <c r="D19" s="3"/>
    </row>
    <row r="20">
      <c r="A20" s="3"/>
      <c r="B20" s="3"/>
      <c r="C20" s="3"/>
      <c r="D20" s="3"/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4" t="s">
        <v>155</v>
      </c>
      <c r="B1" s="4" t="s">
        <v>156</v>
      </c>
    </row>
    <row r="2">
      <c r="A2" s="3"/>
      <c r="B2" s="3"/>
    </row>
    <row r="3">
      <c r="A3" s="3"/>
      <c r="B3" s="3"/>
    </row>
    <row r="4">
      <c r="A4" s="3"/>
      <c r="B4" s="3"/>
    </row>
    <row r="5">
      <c r="A5" s="3"/>
      <c r="B5" s="3"/>
    </row>
    <row r="6">
      <c r="A6" s="3"/>
      <c r="B6" s="3"/>
    </row>
    <row r="7">
      <c r="A7" s="3"/>
      <c r="B7" s="3"/>
    </row>
    <row r="8">
      <c r="A8" s="3"/>
      <c r="B8" s="3"/>
    </row>
    <row r="9">
      <c r="A9" s="3"/>
      <c r="B9" s="3"/>
    </row>
    <row r="10">
      <c r="A10" s="3"/>
      <c r="B10" s="3"/>
    </row>
    <row r="11">
      <c r="A11" s="3"/>
      <c r="B11" s="3"/>
    </row>
    <row r="12">
      <c r="A12" s="3"/>
      <c r="B12" s="3"/>
    </row>
    <row r="13">
      <c r="A13" s="3"/>
      <c r="B13" s="3"/>
    </row>
    <row r="14">
      <c r="A14" s="3"/>
      <c r="B14" s="3"/>
    </row>
    <row r="15">
      <c r="A15" s="3"/>
      <c r="B15" s="3"/>
    </row>
    <row r="16">
      <c r="A16" s="3"/>
      <c r="B16" s="3"/>
    </row>
    <row r="17">
      <c r="A17" s="3"/>
      <c r="B17" s="3"/>
    </row>
    <row r="18">
      <c r="A18" s="3"/>
      <c r="B18" s="3"/>
    </row>
    <row r="19">
      <c r="A19" s="3"/>
      <c r="B19" s="3"/>
    </row>
    <row r="20">
      <c r="A20" s="3"/>
      <c r="B20" s="3"/>
    </row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6.38"/>
    <col customWidth="1" min="2" max="2" width="27.88"/>
    <col customWidth="1" min="3" max="3" width="37.63"/>
    <col customWidth="1" min="4" max="4" width="16.38"/>
    <col customWidth="1" min="5" max="5" width="20.0"/>
    <col customWidth="1" min="6" max="6" width="37.63"/>
  </cols>
  <sheetData>
    <row r="1">
      <c r="A1" s="13" t="s">
        <v>69</v>
      </c>
      <c r="B1" s="4" t="s">
        <v>157</v>
      </c>
      <c r="C1" s="4" t="s">
        <v>158</v>
      </c>
      <c r="D1" s="4" t="s">
        <v>159</v>
      </c>
      <c r="E1" s="4" t="s">
        <v>160</v>
      </c>
      <c r="F1" s="4" t="s">
        <v>76</v>
      </c>
    </row>
    <row r="2">
      <c r="A2" s="2">
        <v>1.0</v>
      </c>
      <c r="B2" s="16" t="s">
        <v>161</v>
      </c>
      <c r="C2" s="16" t="s">
        <v>162</v>
      </c>
      <c r="D2" s="2" t="s">
        <v>163</v>
      </c>
      <c r="E2" s="2" t="s">
        <v>163</v>
      </c>
      <c r="F2" s="3"/>
    </row>
    <row r="3">
      <c r="A3" s="2">
        <v>2.0</v>
      </c>
      <c r="B3" s="16" t="s">
        <v>164</v>
      </c>
      <c r="C3" s="16" t="s">
        <v>165</v>
      </c>
      <c r="D3" s="2" t="s">
        <v>166</v>
      </c>
      <c r="E3" s="2" t="s">
        <v>167</v>
      </c>
      <c r="F3" s="3"/>
    </row>
    <row r="4">
      <c r="A4" s="2">
        <v>3.0</v>
      </c>
      <c r="B4" s="2" t="s">
        <v>168</v>
      </c>
      <c r="C4" s="2" t="s">
        <v>169</v>
      </c>
      <c r="D4" s="2" t="s">
        <v>166</v>
      </c>
      <c r="E4" s="2" t="s">
        <v>167</v>
      </c>
      <c r="F4" s="3"/>
    </row>
    <row r="5">
      <c r="A5" s="2">
        <v>4.0</v>
      </c>
      <c r="B5" s="2" t="s">
        <v>170</v>
      </c>
      <c r="C5" s="2" t="s">
        <v>171</v>
      </c>
      <c r="D5" s="2" t="s">
        <v>166</v>
      </c>
      <c r="E5" s="2" t="s">
        <v>167</v>
      </c>
      <c r="F5" s="3"/>
    </row>
    <row r="6">
      <c r="A6" s="2">
        <v>5.0</v>
      </c>
      <c r="B6" s="2" t="s">
        <v>172</v>
      </c>
      <c r="C6" s="2" t="s">
        <v>173</v>
      </c>
      <c r="D6" s="2" t="s">
        <v>166</v>
      </c>
      <c r="E6" s="2" t="s">
        <v>167</v>
      </c>
      <c r="F6" s="3"/>
    </row>
    <row r="7">
      <c r="A7" s="2">
        <v>6.0</v>
      </c>
      <c r="B7" s="2" t="s">
        <v>174</v>
      </c>
      <c r="C7" s="2" t="s">
        <v>175</v>
      </c>
      <c r="D7" s="2" t="s">
        <v>176</v>
      </c>
      <c r="E7" s="2" t="s">
        <v>167</v>
      </c>
      <c r="F7" s="3"/>
    </row>
    <row r="8">
      <c r="A8" s="2">
        <v>7.0</v>
      </c>
      <c r="B8" s="2" t="s">
        <v>177</v>
      </c>
      <c r="C8" s="2" t="s">
        <v>178</v>
      </c>
      <c r="D8" s="2" t="s">
        <v>163</v>
      </c>
      <c r="E8" s="2" t="s">
        <v>163</v>
      </c>
      <c r="F8" s="3"/>
    </row>
    <row r="9">
      <c r="A9" s="2">
        <v>8.0</v>
      </c>
      <c r="B9" s="2" t="s">
        <v>179</v>
      </c>
      <c r="C9" s="2" t="s">
        <v>180</v>
      </c>
      <c r="D9" s="2" t="s">
        <v>163</v>
      </c>
      <c r="E9" s="2" t="s">
        <v>163</v>
      </c>
      <c r="F9" s="3"/>
    </row>
    <row r="10">
      <c r="A10" s="2">
        <v>9.0</v>
      </c>
      <c r="B10" s="2" t="s">
        <v>181</v>
      </c>
      <c r="C10" s="2" t="s">
        <v>182</v>
      </c>
      <c r="D10" s="2" t="s">
        <v>163</v>
      </c>
      <c r="E10" s="2" t="s">
        <v>163</v>
      </c>
      <c r="F10" s="3"/>
    </row>
    <row r="11">
      <c r="A11" s="2">
        <v>10.0</v>
      </c>
      <c r="B11" s="2" t="s">
        <v>183</v>
      </c>
      <c r="C11" s="2" t="s">
        <v>184</v>
      </c>
      <c r="D11" s="2" t="s">
        <v>163</v>
      </c>
      <c r="E11" s="2" t="s">
        <v>163</v>
      </c>
      <c r="F11" s="3"/>
    </row>
    <row r="12">
      <c r="A12" s="2">
        <v>11.0</v>
      </c>
      <c r="B12" s="2" t="s">
        <v>185</v>
      </c>
      <c r="C12" s="2" t="s">
        <v>186</v>
      </c>
      <c r="D12" s="2" t="s">
        <v>78</v>
      </c>
      <c r="E12" s="2" t="s">
        <v>78</v>
      </c>
      <c r="F12" s="3"/>
    </row>
    <row r="13">
      <c r="A13" s="2">
        <v>12.0</v>
      </c>
      <c r="B13" s="2" t="s">
        <v>187</v>
      </c>
      <c r="C13" s="2" t="s">
        <v>188</v>
      </c>
      <c r="D13" s="2" t="s">
        <v>189</v>
      </c>
      <c r="E13" s="2" t="s">
        <v>167</v>
      </c>
      <c r="F13" s="8" t="s">
        <v>190</v>
      </c>
    </row>
    <row r="14">
      <c r="A14" s="2">
        <v>13.0</v>
      </c>
      <c r="B14" s="2" t="s">
        <v>187</v>
      </c>
      <c r="C14" s="2" t="s">
        <v>191</v>
      </c>
      <c r="D14" s="52" t="s">
        <v>192</v>
      </c>
      <c r="E14" s="2" t="s">
        <v>167</v>
      </c>
      <c r="F14" s="5" t="s">
        <v>193</v>
      </c>
    </row>
    <row r="15">
      <c r="A15" s="2">
        <v>14.0</v>
      </c>
      <c r="B15" s="2" t="s">
        <v>187</v>
      </c>
      <c r="C15" s="2" t="s">
        <v>194</v>
      </c>
      <c r="D15" s="2" t="s">
        <v>195</v>
      </c>
      <c r="E15" s="2" t="s">
        <v>167</v>
      </c>
      <c r="F15" s="5" t="s">
        <v>196</v>
      </c>
    </row>
    <row r="16">
      <c r="A16" s="2">
        <v>15.0</v>
      </c>
      <c r="B16" s="2" t="s">
        <v>187</v>
      </c>
      <c r="C16" s="2" t="s">
        <v>197</v>
      </c>
      <c r="D16" s="2" t="s">
        <v>198</v>
      </c>
      <c r="E16" s="2" t="s">
        <v>167</v>
      </c>
      <c r="F16" s="5" t="s">
        <v>199</v>
      </c>
    </row>
    <row r="17">
      <c r="A17" s="2">
        <v>16.0</v>
      </c>
      <c r="B17" s="2" t="s">
        <v>187</v>
      </c>
      <c r="C17" s="2" t="s">
        <v>200</v>
      </c>
      <c r="D17" s="2" t="s">
        <v>201</v>
      </c>
      <c r="E17" s="2" t="s">
        <v>202</v>
      </c>
      <c r="F17" s="5" t="s">
        <v>203</v>
      </c>
    </row>
    <row r="18">
      <c r="A18" s="3"/>
      <c r="B18" s="3"/>
      <c r="C18" s="3"/>
      <c r="D18" s="3"/>
      <c r="E18" s="3"/>
      <c r="F18" s="3"/>
    </row>
    <row r="19">
      <c r="A19" s="3"/>
      <c r="B19" s="3"/>
      <c r="C19" s="3"/>
      <c r="D19" s="3"/>
      <c r="E19" s="3"/>
      <c r="F19" s="3"/>
    </row>
    <row r="20">
      <c r="A20" s="3"/>
      <c r="B20" s="3"/>
      <c r="C20" s="3"/>
      <c r="D20" s="3"/>
      <c r="E20" s="3"/>
      <c r="F20" s="3"/>
    </row>
  </sheetData>
  <hyperlinks>
    <hyperlink r:id="rId1" ref="F13"/>
    <hyperlink r:id="rId2" ref="F14"/>
    <hyperlink r:id="rId3" ref="F15"/>
    <hyperlink r:id="rId4" ref="F16"/>
    <hyperlink r:id="rId5" ref="F17"/>
  </hyperlinks>
  <drawing r:id="rId6"/>
  <tableParts count="1">
    <tablePart r:id="rId8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25.13"/>
    <col customWidth="1" min="3" max="5" width="12.63"/>
  </cols>
  <sheetData>
    <row r="1">
      <c r="A1" s="90" t="str">
        <f>'Project Team'!A1</f>
        <v>Last Name</v>
      </c>
      <c r="B1" s="90" t="str">
        <f>'Project Team'!B1</f>
        <v>First Name</v>
      </c>
      <c r="C1" s="91" t="s">
        <v>204</v>
      </c>
      <c r="D1" s="92"/>
      <c r="E1" s="93"/>
      <c r="F1" s="94"/>
      <c r="G1" s="95"/>
      <c r="H1" s="95"/>
    </row>
    <row r="2">
      <c r="A2" s="96" t="str">
        <f>'Project Team'!A2</f>
        <v>Auer</v>
      </c>
      <c r="B2" s="96" t="str">
        <f>'Project Team'!B2</f>
        <v>Katharina</v>
      </c>
      <c r="C2" s="97">
        <v>0.0</v>
      </c>
      <c r="D2" s="98"/>
      <c r="E2" s="99">
        <f>average(C2:C10)</f>
        <v>0</v>
      </c>
      <c r="F2" s="100" t="str">
        <f>if(stdev(C2:C7) &gt; 0,"NOK", "OK")</f>
        <v>OK</v>
      </c>
      <c r="G2" s="101"/>
      <c r="H2" s="101"/>
    </row>
    <row r="3">
      <c r="A3" s="102" t="str">
        <f t="shared" ref="A3:B3" si="1">#REF!</f>
        <v>#REF!</v>
      </c>
      <c r="B3" s="102" t="str">
        <f t="shared" si="1"/>
        <v>#REF!</v>
      </c>
      <c r="C3" s="97">
        <v>0.0</v>
      </c>
      <c r="D3" s="103"/>
      <c r="G3" s="104"/>
      <c r="H3" s="104"/>
    </row>
    <row r="4">
      <c r="A4" s="96" t="str">
        <f t="shared" ref="A4:B4" si="2">#REF!</f>
        <v>#REF!</v>
      </c>
      <c r="B4" s="96" t="str">
        <f t="shared" si="2"/>
        <v>#REF!</v>
      </c>
      <c r="C4" s="105"/>
      <c r="D4" s="98"/>
      <c r="G4" s="101"/>
      <c r="H4" s="101"/>
    </row>
    <row r="5">
      <c r="A5" s="102" t="str">
        <f t="shared" ref="A5:B5" si="3">#REF!</f>
        <v>#REF!</v>
      </c>
      <c r="B5" s="102" t="str">
        <f t="shared" si="3"/>
        <v>#REF!</v>
      </c>
      <c r="C5" s="106"/>
      <c r="D5" s="107"/>
      <c r="E5" s="107"/>
      <c r="F5" s="107"/>
      <c r="G5" s="104"/>
      <c r="H5" s="104"/>
    </row>
    <row r="6">
      <c r="A6" s="96" t="str">
        <f t="shared" ref="A6:B6" si="4">#REF!</f>
        <v>#REF!</v>
      </c>
      <c r="B6" s="96" t="str">
        <f t="shared" si="4"/>
        <v>#REF!</v>
      </c>
      <c r="C6" s="105"/>
      <c r="D6" s="108"/>
      <c r="E6" s="109">
        <v>0.0</v>
      </c>
      <c r="F6" s="110" t="s">
        <v>205</v>
      </c>
      <c r="G6" s="101"/>
      <c r="H6" s="101"/>
    </row>
    <row r="7">
      <c r="A7" s="102" t="str">
        <f t="shared" ref="A7:B7" si="5">#REF!</f>
        <v>#REF!</v>
      </c>
      <c r="B7" s="102" t="str">
        <f t="shared" si="5"/>
        <v>#REF!</v>
      </c>
      <c r="C7" s="105"/>
      <c r="D7" s="107"/>
      <c r="E7" s="109">
        <v>1.0</v>
      </c>
      <c r="F7" s="110" t="s">
        <v>206</v>
      </c>
      <c r="G7" s="104"/>
      <c r="H7" s="104"/>
    </row>
    <row r="8">
      <c r="A8" s="96" t="str">
        <f t="shared" ref="A8:B8" si="6">#REF!</f>
        <v>#REF!</v>
      </c>
      <c r="B8" s="96" t="str">
        <f t="shared" si="6"/>
        <v>#REF!</v>
      </c>
      <c r="C8" s="106"/>
      <c r="D8" s="108"/>
      <c r="E8" s="109">
        <v>2.0</v>
      </c>
      <c r="F8" s="110" t="s">
        <v>207</v>
      </c>
      <c r="G8" s="101"/>
      <c r="H8" s="101"/>
    </row>
    <row r="9">
      <c r="A9" s="102" t="str">
        <f t="shared" ref="A9:B9" si="7">#REF!</f>
        <v>#REF!</v>
      </c>
      <c r="B9" s="102" t="str">
        <f t="shared" si="7"/>
        <v>#REF!</v>
      </c>
      <c r="C9" s="106"/>
      <c r="D9" s="107"/>
      <c r="E9" s="109">
        <v>3.0</v>
      </c>
      <c r="F9" s="110" t="s">
        <v>208</v>
      </c>
      <c r="G9" s="104"/>
      <c r="H9" s="104"/>
    </row>
    <row r="10">
      <c r="A10" s="96" t="str">
        <f t="shared" ref="A10:B10" si="8">#REF!</f>
        <v>#REF!</v>
      </c>
      <c r="B10" s="96" t="str">
        <f t="shared" si="8"/>
        <v>#REF!</v>
      </c>
      <c r="C10" s="106"/>
      <c r="D10" s="108"/>
      <c r="E10" s="109">
        <v>5.0</v>
      </c>
      <c r="F10" s="110" t="s">
        <v>209</v>
      </c>
      <c r="G10" s="101"/>
      <c r="H10" s="101"/>
    </row>
    <row r="11">
      <c r="A11" s="102"/>
      <c r="B11" s="102"/>
      <c r="C11" s="105"/>
      <c r="D11" s="107"/>
      <c r="E11" s="109">
        <v>8.0</v>
      </c>
      <c r="F11" s="110" t="s">
        <v>210</v>
      </c>
      <c r="G11" s="104"/>
      <c r="H11" s="104"/>
    </row>
    <row r="12">
      <c r="A12" s="96"/>
      <c r="B12" s="96"/>
      <c r="C12" s="105"/>
      <c r="D12" s="108"/>
      <c r="E12" s="109">
        <v>13.0</v>
      </c>
      <c r="F12" s="110" t="s">
        <v>211</v>
      </c>
      <c r="G12" s="101"/>
      <c r="H12" s="101"/>
    </row>
    <row r="13">
      <c r="A13" s="102"/>
      <c r="B13" s="102"/>
      <c r="C13" s="107"/>
      <c r="D13" s="107"/>
      <c r="E13" s="107"/>
      <c r="F13" s="107"/>
      <c r="G13" s="104"/>
      <c r="H13" s="104"/>
    </row>
    <row r="14">
      <c r="A14" s="111" t="s">
        <v>212</v>
      </c>
      <c r="B14" s="112"/>
      <c r="C14" s="112"/>
      <c r="D14" s="112"/>
      <c r="E14" s="112"/>
      <c r="F14" s="112"/>
      <c r="G14" s="112"/>
      <c r="H14" s="112"/>
    </row>
    <row r="15">
      <c r="A15" s="113"/>
      <c r="B15" s="113"/>
      <c r="C15" s="113"/>
      <c r="D15" s="113"/>
      <c r="E15" s="113"/>
      <c r="F15" s="113"/>
      <c r="G15" s="113"/>
      <c r="H15" s="113"/>
    </row>
    <row r="16">
      <c r="A16" s="114" t="s">
        <v>213</v>
      </c>
      <c r="B16" s="115"/>
      <c r="C16" s="115"/>
      <c r="D16" s="115"/>
      <c r="E16" s="115"/>
      <c r="F16" s="115"/>
      <c r="G16" s="115"/>
      <c r="H16" s="115"/>
    </row>
    <row r="17">
      <c r="A17" s="116" t="s">
        <v>214</v>
      </c>
      <c r="B17" s="113"/>
      <c r="C17" s="113"/>
      <c r="D17" s="113"/>
      <c r="E17" s="113"/>
      <c r="F17" s="113"/>
      <c r="G17" s="113"/>
      <c r="H17" s="113"/>
    </row>
    <row r="18">
      <c r="A18" s="114" t="s">
        <v>215</v>
      </c>
      <c r="B18" s="115"/>
      <c r="C18" s="115"/>
      <c r="D18" s="115"/>
      <c r="E18" s="115"/>
      <c r="F18" s="115"/>
      <c r="G18" s="115"/>
      <c r="H18" s="115"/>
    </row>
    <row r="19">
      <c r="A19" s="113"/>
      <c r="B19" s="113"/>
      <c r="C19" s="113"/>
      <c r="D19" s="113"/>
      <c r="E19" s="113"/>
      <c r="F19" s="113"/>
      <c r="G19" s="113"/>
      <c r="H19" s="113"/>
    </row>
    <row r="20">
      <c r="A20" s="115"/>
      <c r="B20" s="115"/>
      <c r="C20" s="115"/>
      <c r="D20" s="115"/>
      <c r="E20" s="115"/>
      <c r="F20" s="115"/>
      <c r="G20" s="115"/>
      <c r="H20" s="115"/>
    </row>
  </sheetData>
  <mergeCells count="2">
    <mergeCell ref="E2:E4"/>
    <mergeCell ref="F2:F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