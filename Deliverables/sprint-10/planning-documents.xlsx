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Project Burndown Chart" sheetId="11" r:id="rId14"/>
    <sheet state="visible" name="Final Project Release plan" sheetId="12" r:id="rId15"/>
    <sheet state="visible" name="Final Project Burndown Chart" sheetId="13" r:id="rId16"/>
    <sheet state="visible" name="Definition of Done" sheetId="14" r:id="rId17"/>
    <sheet state="visible" name="Documentation" sheetId="15" r:id="rId18"/>
    <sheet state="visible" name="Planning Poker" sheetId="16" r:id="rId19"/>
    <sheet state="visible" name="Bill of Materials" sheetId="17" r:id="rId20"/>
  </sheets>
  <definedNames/>
  <calcPr/>
</workbook>
</file>

<file path=xl/sharedStrings.xml><?xml version="1.0" encoding="utf-8"?>
<sst xmlns="http://schemas.openxmlformats.org/spreadsheetml/2006/main" count="524" uniqueCount="376">
  <si>
    <t>Project Name</t>
  </si>
  <si>
    <t>Zero Downtime Linux Updates</t>
  </si>
  <si>
    <t>Online team meeting</t>
  </si>
  <si>
    <t>https://tu-berlin.zoom-x.de/j/2406759921?pwd=ahCbJqSuz3RaljImkCzVHeSgzqLg2k.1</t>
  </si>
  <si>
    <t>Production system (if any)</t>
  </si>
  <si>
    <t>Test system (if any)</t>
  </si>
  <si>
    <t>...</t>
  </si>
  <si>
    <t>GitHub repository</t>
  </si>
  <si>
    <t>https://github.com/amosproj/amos2026ss01-zero-downtime-linux-updates</t>
  </si>
  <si>
    <t>GitHub feature board</t>
  </si>
  <si>
    <t>https://github.com/orgs/amosproj/projects/97</t>
  </si>
  <si>
    <t>GitHub imp-squared backlog</t>
  </si>
  <si>
    <t>https://github.com/orgs/amosproj/projects/101</t>
  </si>
  <si>
    <t>Position of T-shirt logo</t>
  </si>
  <si>
    <t>Upper Torso Right Small</t>
  </si>
  <si>
    <t>Link to logo for black T-shirt</t>
  </si>
  <si>
    <t>https://github.com/amosproj/amos2026ss01-zero-downtime-linux-updates/blob/main/Deliverables/sprint-01/team-logo.svg</t>
  </si>
  <si>
    <t>Link to logo for white T-shirt</t>
  </si>
  <si>
    <t>Additional materials</t>
  </si>
  <si>
    <t>https://discord.gg/cBnpkJKNEu</t>
  </si>
  <si>
    <t>Team maling list</t>
  </si>
  <si>
    <t>oss-amos-proj1@lists.fau.de</t>
  </si>
  <si>
    <t>Happines Index</t>
  </si>
  <si>
    <t>https://happy.uni1.de/login</t>
  </si>
  <si>
    <t>Planning Poker</t>
  </si>
  <si>
    <t>https://planningpokeronline.com/t2YLAtlYDVOOcjJW6gzq/</t>
  </si>
  <si>
    <t>Last Name</t>
  </si>
  <si>
    <t>First Name</t>
  </si>
  <si>
    <t>GitHub User Name</t>
  </si>
  <si>
    <t>Email Address</t>
  </si>
  <si>
    <t>Auer</t>
  </si>
  <si>
    <t>Katharina</t>
  </si>
  <si>
    <t>KathiAurina</t>
  </si>
  <si>
    <t>katharina.auer@fau.de</t>
  </si>
  <si>
    <t>Böhm</t>
  </si>
  <si>
    <t>Luca</t>
  </si>
  <si>
    <t>QW3RAT</t>
  </si>
  <si>
    <t>luca.boehm@fau.de</t>
  </si>
  <si>
    <t>Durand</t>
  </si>
  <si>
    <t>Patrick</t>
  </si>
  <si>
    <t>patridu</t>
  </si>
  <si>
    <t>patrick.durand@fau.de</t>
  </si>
  <si>
    <t>Freymann</t>
  </si>
  <si>
    <t>Jaroslav</t>
  </si>
  <si>
    <t>IFrey</t>
  </si>
  <si>
    <t>jaroslav.freymann@fu-berlin.de</t>
  </si>
  <si>
    <t>Friedrich</t>
  </si>
  <si>
    <t>Jeremias</t>
  </si>
  <si>
    <t>Jerry1098</t>
  </si>
  <si>
    <t>jeremias.friedrich@fau.de</t>
  </si>
  <si>
    <t>Klem</t>
  </si>
  <si>
    <t>Lugga19</t>
  </si>
  <si>
    <t>luca.klem@fau.de</t>
  </si>
  <si>
    <t>Meusling</t>
  </si>
  <si>
    <t>SirGankalot</t>
  </si>
  <si>
    <t>meusling@campus.tu-berlin.de</t>
  </si>
  <si>
    <t>Reinel</t>
  </si>
  <si>
    <t>Moritz</t>
  </si>
  <si>
    <t>moritz-reinel</t>
  </si>
  <si>
    <t>mo.ritz@fau.de</t>
  </si>
  <si>
    <t>Schütz</t>
  </si>
  <si>
    <t>Julian</t>
  </si>
  <si>
    <t>Beambamacrys</t>
  </si>
  <si>
    <t>julian.schuetz@fau.de</t>
  </si>
  <si>
    <t>Zobel</t>
  </si>
  <si>
    <t>Simeon</t>
  </si>
  <si>
    <t>uzantome</t>
  </si>
  <si>
    <t>git@uzanto.me</t>
  </si>
  <si>
    <t>Product Owner</t>
  </si>
  <si>
    <t>#</t>
  </si>
  <si>
    <t>Meeting Day</t>
  </si>
  <si>
    <t>Review</t>
  </si>
  <si>
    <t>Planning</t>
  </si>
  <si>
    <t>Software Developer</t>
  </si>
  <si>
    <t>Release Manager</t>
  </si>
  <si>
    <t>Scrum Master</t>
  </si>
  <si>
    <t>Comment</t>
  </si>
  <si>
    <t>Everyone else</t>
  </si>
  <si>
    <t>N/A</t>
  </si>
  <si>
    <t>Patrick Meusling</t>
  </si>
  <si>
    <t>Jeremias Friedrich</t>
  </si>
  <si>
    <t>Julian Schütz</t>
  </si>
  <si>
    <t>Katharina Auer</t>
  </si>
  <si>
    <t>Moritz Reinel</t>
  </si>
  <si>
    <t>Jaroslav Freymann</t>
  </si>
  <si>
    <t>Mid-term due</t>
  </si>
  <si>
    <t>Patrick Durand</t>
  </si>
  <si>
    <t>Simeon Zobel</t>
  </si>
  <si>
    <t>Demo day!</t>
  </si>
  <si>
    <t>Retrospective</t>
  </si>
  <si>
    <t>Product owners, software developers, and Scurm Master are set and ideally don't change over time; the critical part is the Release Manager role you need to define here</t>
  </si>
  <si>
    <t xml:space="preserve"> </t>
  </si>
  <si>
    <t>Goals</t>
  </si>
  <si>
    <t>Aquire new skills</t>
  </si>
  <si>
    <t>Produce a functioning and valuable product</t>
  </si>
  <si>
    <t>Meeting norms</t>
  </si>
  <si>
    <t>We show up on time</t>
  </si>
  <si>
    <t>Devs make sure to try to understand the new sprints tickets before the team meeting</t>
  </si>
  <si>
    <t>POs provide a summary of industry partner meeting</t>
  </si>
  <si>
    <t>Working norms</t>
  </si>
  <si>
    <t>Clean, testable code with clear commit messages, code comments</t>
  </si>
  <si>
    <t>We respect other people's work</t>
  </si>
  <si>
    <t>PRs must be ready for review by Tuesday 6:00 am. Tuesdays are reserved for review and merging</t>
  </si>
  <si>
    <t>Coordination norms</t>
  </si>
  <si>
    <t xml:space="preserve">Separate branches for issues, branches only get merged via Merge Requests, second person to review </t>
  </si>
  <si>
    <t>We balance workload among the team</t>
  </si>
  <si>
    <t>Communication norms</t>
  </si>
  <si>
    <t>We regularly check the corresponding channels</t>
  </si>
  <si>
    <t>We make sure to communicate possible problems as early as possible (absence, etc.)</t>
  </si>
  <si>
    <t>We communicate constructively</t>
  </si>
  <si>
    <t>Consideration norms</t>
  </si>
  <si>
    <t>We discuss issues openly</t>
  </si>
  <si>
    <t>We vote in case we can't reach a consensus</t>
  </si>
  <si>
    <t>Cont. improvement norms</t>
  </si>
  <si>
    <t>We encourage critique and improvement efforts</t>
  </si>
  <si>
    <t>We reach out for help early enough to still finish our tasks</t>
  </si>
  <si>
    <t>Rewards</t>
  </si>
  <si>
    <t>Favorite Drink</t>
  </si>
  <si>
    <t>Wear a cool hat or glasses during meetings</t>
  </si>
  <si>
    <t>Sanctions</t>
  </si>
  <si>
    <t>Publish a stackoverflow answer</t>
  </si>
  <si>
    <t>Signatures</t>
  </si>
  <si>
    <t>Product owner</t>
  </si>
  <si>
    <t>Luca Klem</t>
  </si>
  <si>
    <t>Luca Böhm</t>
  </si>
  <si>
    <t>Software developer</t>
  </si>
  <si>
    <t>Product Vision</t>
  </si>
  <si>
    <t>Project Mission</t>
  </si>
  <si>
    <t>To provide industrail manufacturers with an open-source, simple, and secure management structrure for edge devices and applications that gurantees operational continuity. This allows organizations like Weber to declare operating system (Fedora IoT) version and application versions they want to run on an individual device or a whole fleet of devices. The product will roll out the target configuration to devices while maintaining highest standards of safety, regulatory compliance (NIS2), and ensuring zero-downtime operations for critical machinery.</t>
  </si>
  <si>
    <t>To design and develop a secure, Rust-based edge orchestrator for Weber’s Edge IPC that enables near zero-downtime updates for both the operating system and application layers. Our mission is to implement a management agent that leverages Fedora IoT, bootc, and Podman to ensure system updates and reliability. We create a cloud containing a database, which manages edge device infromation, and the running and desired OS and application versions. Users should be able to create, read, update, and delete devices, device groups, OS, and application information.</t>
  </si>
  <si>
    <t>Term</t>
  </si>
  <si>
    <t>Definition</t>
  </si>
  <si>
    <t>Edge Device/ Edge IPC</t>
  </si>
  <si>
    <t>An industrial Inter-Process Communication (IPC) hardware asset deployed on the factory floor on which our project runs.</t>
  </si>
  <si>
    <t>Edge Agent</t>
  </si>
  <si>
    <t>The sytem component that is running on the Edge IPC and controlls Updates and Communication. This includes Orchestrator, Download manager, and Health checks</t>
  </si>
  <si>
    <t>Orchestrator</t>
  </si>
  <si>
    <t>The central, automated controller within the Edge Agent that coordinates the execution of all local update activities. It is responsible for executing the update cycle by interpreting the remote configuration, monitoring the local system status, and sequentially triggering download, verification, and installation workflows to align the physical device with the cloud's target state.</t>
  </si>
  <si>
    <t>Device Identity</t>
  </si>
  <si>
    <t>A unique identifier permanently bound to a physical Edge Device, derived directly from its onboard hardware.</t>
  </si>
  <si>
    <t>Image</t>
  </si>
  <si>
    <t>A complete representation of a software layer packaged as a containerized asset ready for deployment.</t>
  </si>
  <si>
    <t>Download Manager</t>
  </si>
  <si>
    <t>A component within the Edge Agent tasked with fetching the required state of OS and applications on the device from the Cloud.</t>
  </si>
  <si>
    <t>Inventory Database</t>
  </si>
  <si>
    <t>Database in the Cloud that stores all information of the Edge Device, Appcations, and OS Versions. On top of that it stores the current deployed and the required OS and application version for each Edge Device.</t>
  </si>
  <si>
    <t>Rollback</t>
  </si>
  <si>
    <t>An automated emergency recovery operation that instantly reverts an Edge Device to its previously functional Operating System Image or Application Stack upon a post-update health check failure.</t>
  </si>
  <si>
    <t>Health Check</t>
  </si>
  <si>
    <t>A set of automated local test scripts executed immediately after a system switch or reboot to verify the functional correctness of critical device services before confirming an update as successful.</t>
  </si>
  <si>
    <t>Fleet</t>
  </si>
  <si>
    <t>The total of all edge devices that are managed by one company/user.</t>
  </si>
  <si>
    <t>Database</t>
  </si>
  <si>
    <t>Central Database where information about Edge Devices is gathered. This includes but isnt limited to: OS version, Host Info, Tenant, Group</t>
  </si>
  <si>
    <t>Tenant</t>
  </si>
  <si>
    <t>The customer where the Edge Device and its associated machinery is located</t>
  </si>
  <si>
    <t>Group</t>
  </si>
  <si>
    <t>Edge Devices can be put into Groups so that they can be modified together. IP has envisioned different Groups like porduction, testing etc.</t>
  </si>
  <si>
    <t>Cloud</t>
  </si>
  <si>
    <t xml:space="preserve">Includes Invetory Database and APIs to communicate with which the user and Edge IPC can communicate. </t>
  </si>
  <si>
    <t>Sprint #</t>
  </si>
  <si>
    <t>Sprint goal</t>
  </si>
  <si>
    <t>None</t>
  </si>
  <si>
    <t>Optional</t>
  </si>
  <si>
    <t xml:space="preserve">Enable OS update swapping </t>
  </si>
  <si>
    <t>Database interaction with the user and Edge IPC is enabled</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</si>
  <si>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</si>
  <si>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</si>
  <si>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</si>
  <si>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</si>
  <si>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</si>
  <si>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</si>
  <si>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</si>
  <si>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</si>
  <si>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</si>
  <si>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</si>
  <si>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</si>
  <si>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</si>
  <si>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</si>
  <si>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</si>
  <si>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</si>
  <si>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Review different Linux Distros</t>
  </si>
  <si>
    <t>Review Backup options</t>
  </si>
  <si>
    <t>Setup shared dev environment</t>
  </si>
  <si>
    <t>Review options for zero downtime update</t>
  </si>
  <si>
    <t>Initialize SBOM and Software Architecture</t>
  </si>
  <si>
    <t>Review how TPM can be used</t>
  </si>
  <si>
    <t>HTTPS Download Manager</t>
  </si>
  <si>
    <t>API Protocoll &amp; Mock Cloud</t>
  </si>
  <si>
    <t>Setup DCO &amp; CI Pipeline</t>
  </si>
  <si>
    <t>Edge IPC Orchestrator</t>
  </si>
  <si>
    <t>Signature Verification</t>
  </si>
  <si>
    <t>Setup Cargo Workspace</t>
  </si>
  <si>
    <t>rpm-ostree OS Update Controller</t>
  </si>
  <si>
    <t>Post-Update Health Checks</t>
  </si>
  <si>
    <t>Containerized Image Delivery</t>
  </si>
  <si>
    <t>Device Inventory MVP</t>
  </si>
  <si>
    <t>Build Process Video</t>
  </si>
  <si>
    <t>Orchestrator check for update</t>
  </si>
  <si>
    <t>Application Stack Controller</t>
  </si>
  <si>
    <t>Refactor: bootc wrapper</t>
  </si>
  <si>
    <t>Update Documentation and Architecture</t>
  </si>
  <si>
    <t>Setup Inventory Database</t>
  </si>
  <si>
    <t>Create Scheme for Database and API calls</t>
  </si>
  <si>
    <t>Refactor: Orchestrator initiates updates</t>
  </si>
  <si>
    <t>Edge IPC to Cloud API for Database updates</t>
  </si>
  <si>
    <t>User to Cloud API for Database Updates</t>
  </si>
  <si>
    <t>Setup demo review</t>
  </si>
  <si>
    <t>Refactor: Folder strucuter</t>
  </si>
  <si>
    <t>PLEASE CREATE THE BURNDOWN CHART ON A NEW TAB USING THE DATA FROM THIS TAB</t>
  </si>
  <si>
    <t>Enhance database functionality and logging</t>
  </si>
  <si>
    <t>Integration Testing and Test Environment</t>
  </si>
  <si>
    <t>Save device and application Logs in Database</t>
  </si>
  <si>
    <t>Provide Logs and Streaming for Users</t>
  </si>
  <si>
    <t>First Demo preperations</t>
  </si>
  <si>
    <t>Finalize Project and Demo preperation</t>
  </si>
  <si>
    <t>Prepare Handover</t>
  </si>
  <si>
    <t>Refactor: Introduce DTO</t>
  </si>
  <si>
    <t>OS Image creation of different versions</t>
  </si>
  <si>
    <t>Add Heartbeats</t>
  </si>
  <si>
    <t>Research: Timestamp for DB changes</t>
  </si>
  <si>
    <t>Signature Verification of image delivery</t>
  </si>
  <si>
    <t>Add paging to device/group/application information</t>
  </si>
  <si>
    <t>Create test setup</t>
  </si>
  <si>
    <t>Create Integration tests</t>
  </si>
  <si>
    <t>Authentication for User API</t>
  </si>
  <si>
    <t>Research: Solution for storing time sensitive data</t>
  </si>
  <si>
    <t>Provide device logging function for storing logs in database</t>
  </si>
  <si>
    <t>TPM-based Device Indentity Verification at Edge IPC-Cloud API</t>
  </si>
  <si>
    <t>Log timestamp and user information for database changes</t>
  </si>
  <si>
    <t>Monitor and Mange Podman Containers</t>
  </si>
  <si>
    <t>Create API for time sensitive data</t>
  </si>
  <si>
    <t>Store App Config in databse</t>
  </si>
  <si>
    <t>Store Podman logs in database</t>
  </si>
  <si>
    <t>Store Device Logs in Database</t>
  </si>
  <si>
    <t>Refactor Orchestrator</t>
  </si>
  <si>
    <t>Hardware deployment</t>
  </si>
  <si>
    <t>Adapt database to support changelogs in UI</t>
  </si>
  <si>
    <t>Testing: Adapt Integration Testing so that TPM works with it</t>
  </si>
  <si>
    <t>Testing: Improve test setup so that changing binary in vm is easier</t>
  </si>
  <si>
    <t>Update Post-Booting Health checks</t>
  </si>
  <si>
    <t>API for uploading TPM/ID pairs and first device registration</t>
  </si>
  <si>
    <t>API Design: Dedicated routes for device and user</t>
  </si>
  <si>
    <t>Bugfix: Group and device application assignment</t>
  </si>
  <si>
    <t>Add reboot options</t>
  </si>
  <si>
    <t>Get UUID from device</t>
  </si>
  <si>
    <t>Create own application image</t>
  </si>
  <si>
    <t>Bug: Failed loading of config doesnt get logged</t>
  </si>
  <si>
    <t>Fix: Signature verification commented out</t>
  </si>
  <si>
    <t>Create Final Demo in Cooperation with POs</t>
  </si>
  <si>
    <t>Check Project running as inteded</t>
  </si>
  <si>
    <t>Databse: Only show valid image+OS versions</t>
  </si>
  <si>
    <t>Create Demo day slide</t>
  </si>
  <si>
    <t>Create Demo video</t>
  </si>
  <si>
    <t>Finalize user, (technical) design, and build/deploy documentation</t>
  </si>
  <si>
    <t>Update SBOM</t>
  </si>
  <si>
    <t>Annotate Code</t>
  </si>
  <si>
    <t>Create Handover Document for Weber</t>
  </si>
  <si>
    <t>Cleanup Project</t>
  </si>
  <si>
    <t>Feature Definition of Done</t>
  </si>
  <si>
    <t>Sprint Release Definition of Done</t>
  </si>
  <si>
    <t>Project Release Definition of Done</t>
  </si>
  <si>
    <t>All Acceptance criterias defined in the backlog item are met and verified</t>
  </si>
  <si>
    <t>Work done is pushed to the Github repository</t>
  </si>
  <si>
    <t>For each backlog item a branch is created</t>
  </si>
  <si>
    <t>Pull requests are created for each branch</t>
  </si>
  <si>
    <t>Pull requests are reviewed</t>
  </si>
  <si>
    <t>Corresponding branches are merged</t>
  </si>
  <si>
    <t>Software Bill of Materials in the planning document is updated if new dependencies were added</t>
  </si>
  <si>
    <t>The Wiki Section/Documentation corresponding to the work done is updated</t>
  </si>
  <si>
    <t>Unit tests are written for all new logic</t>
  </si>
  <si>
    <t>All unit tests must pass successfully in the CI pipeline</t>
  </si>
  <si>
    <t>Code passes cargo fmt (style) and cargo clippy (linting)</t>
  </si>
  <si>
    <t>All Developers assigned to a backlog item must communicate and coordinate with each other to complete the task</t>
  </si>
  <si>
    <t>All features merged into the main branch; the CI pipeline is "Green"</t>
  </si>
  <si>
    <t>Release candidates with a working and meaningful update to the previous sprint is tagged</t>
  </si>
  <si>
    <t>Previously established features must continue to work.</t>
  </si>
  <si>
    <t>All automated tests and validation checks for the developed components pass without errors</t>
  </si>
  <si>
    <t>A single-click deployment/flashable image for the selected hardware is available</t>
  </si>
  <si>
    <t>User documentation (usage examples, configuration steps, expected outputs) is finalized and up to date</t>
  </si>
  <si>
    <t>All open-source licenses are documented and compliant</t>
  </si>
  <si>
    <t>A "Handover Document" for Weber is completed in the Wiki</t>
  </si>
  <si>
    <t>The final release has been reviewed and approved by all project team members and the industry partner</t>
  </si>
  <si>
    <t>Type</t>
  </si>
  <si>
    <t>Link / reference</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</si>
  <si>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</si>
  <si>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</si>
  <si>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</si>
  <si>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</si>
  <si>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</si>
  <si>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</si>
  <si>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</si>
  <si>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</si>
  <si>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</si>
  <si>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</si>
  <si>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</si>
  <si>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</si>
  <si>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Context</t>
  </si>
  <si>
    <t>Name</t>
  </si>
  <si>
    <t>Version</t>
  </si>
  <si>
    <t>License</t>
  </si>
  <si>
    <t>OS</t>
  </si>
  <si>
    <t>Fedora Linux</t>
  </si>
  <si>
    <t>MIT</t>
  </si>
  <si>
    <t xml:space="preserve">Language </t>
  </si>
  <si>
    <t xml:space="preserve">Rust </t>
  </si>
  <si>
    <t>1.95.0 (latest stable)</t>
  </si>
  <si>
    <t>MIT/Apache 2.0</t>
  </si>
  <si>
    <t>Rust Toolchain</t>
  </si>
  <si>
    <t>rustc</t>
  </si>
  <si>
    <t>Rust Buildsystem</t>
  </si>
  <si>
    <t>cargo</t>
  </si>
  <si>
    <t>Rust Standard library</t>
  </si>
  <si>
    <t>rust-std</t>
  </si>
  <si>
    <t>Rust Security/Audit (Dev Process)</t>
  </si>
  <si>
    <t>cargo-audit</t>
  </si>
  <si>
    <t>0.22.1</t>
  </si>
  <si>
    <t>Runtime</t>
  </si>
  <si>
    <t>Container Engine (TBD)</t>
  </si>
  <si>
    <t>TBD</t>
  </si>
  <si>
    <t xml:space="preserve">Security </t>
  </si>
  <si>
    <t>TPM (TBD)</t>
  </si>
  <si>
    <t>Update</t>
  </si>
  <si>
    <t>A/B Update Framework (TBD)</t>
  </si>
  <si>
    <t xml:space="preserve">Publish Process </t>
  </si>
  <si>
    <t>Github Actions</t>
  </si>
  <si>
    <t>Rust Package</t>
  </si>
  <si>
    <t>config</t>
  </si>
  <si>
    <t>0.15.22</t>
  </si>
  <si>
    <t>https://github.com/rust-cli/config-rs</t>
  </si>
  <si>
    <t>env_logger</t>
  </si>
  <si>
    <t>0.11.10</t>
  </si>
  <si>
    <t>https://github.com/rust-cli/env_logger</t>
  </si>
  <si>
    <t>log</t>
  </si>
  <si>
    <t>0.4.29</t>
  </si>
  <si>
    <t>https://github.com/rust-lang/log</t>
  </si>
  <si>
    <t>serde</t>
  </si>
  <si>
    <t>1.0.228</t>
  </si>
  <si>
    <t>https://github.com/serde-rs/serde</t>
  </si>
  <si>
    <t>tokio</t>
  </si>
  <si>
    <t>1.52.1</t>
  </si>
  <si>
    <t>https://github.com/tokio-rs/tokio</t>
  </si>
  <si>
    <t>reqwest</t>
  </si>
  <si>
    <t>0.13.3</t>
  </si>
  <si>
    <t>https://github.com/seanmonstar/reqwest</t>
  </si>
  <si>
    <t>anyhow</t>
  </si>
  <si>
    <t>1.0.102</t>
  </si>
  <si>
    <t>https://github.com/dtolnay/anyhow</t>
  </si>
  <si>
    <t>futures-util</t>
  </si>
  <si>
    <t>0.3.32</t>
  </si>
  <si>
    <t>https://github.com/rust-lang/futures-rs</t>
  </si>
  <si>
    <t>base64</t>
  </si>
  <si>
    <t>https://github.com/marshallpierce/rust-base64</t>
  </si>
  <si>
    <t>Serde JSON</t>
  </si>
  <si>
    <t>https://github.com/serde-rs/json</t>
  </si>
  <si>
    <t>ed25519-dalek</t>
  </si>
  <si>
    <t>2.2.0</t>
  </si>
  <si>
    <t>BSD-3-Clause</t>
  </si>
  <si>
    <t>https://github.com/dalek-cryptography/curve25519-dalek</t>
  </si>
  <si>
    <t>clap</t>
  </si>
  <si>
    <t>4.6.1</t>
  </si>
  <si>
    <t>https://github.com/clap-rs/clap</t>
  </si>
  <si>
    <t>async-trait</t>
  </si>
  <si>
    <t>tracing</t>
  </si>
  <si>
    <t>0.1.44</t>
  </si>
  <si>
    <t>https://github.com/tokio-rs/tracing</t>
  </si>
  <si>
    <t>sea-orm, sea-orm-migration</t>
  </si>
  <si>
    <t>2.0.0-rc</t>
  </si>
  <si>
    <t>https://github.com/SeaQL/sea-orm</t>
  </si>
  <si>
    <t>jsonwebtoken</t>
  </si>
  <si>
    <t>10.4.0</t>
  </si>
  <si>
    <t>https://github.com/Keats/jsonwebtoken</t>
  </si>
  <si>
    <t>tss_esapi</t>
  </si>
  <si>
    <t>7.7.0</t>
  </si>
  <si>
    <t>Apache 2.0</t>
  </si>
  <si>
    <t>https://github.com/parallaxsecond/rust-tss-esapi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</si>
</sst>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22">
    <font>
      <sz val="10.0"/>
      <color rgb="FF000000"/>
      <name val="Arial"/>
    </font>
    <font>
      <b/>
    </font>
    <font/>
    <font>
      <u/>
      <color rgb="FF0000FF"/>
    </font>
    <font>
      <u/>
      <color rgb="FF0000FF"/>
    </font>
    <font>
      <color rgb="FFE8E6E3"/>
    </font>
    <font>
      <u/>
      <color rgb="FF0000FF"/>
    </font>
    <font>
      <u/>
      <color rgb="FF0000FF"/>
    </font>
    <font>
      <b/>
      <color rgb="FF181A1B"/>
    </font>
    <font>
      <b/>
      <color rgb="FF181A1B"/>
      <name val="Arial"/>
    </font>
    <font>
      <u/>
      <color rgb="FF56A3F1"/>
      <name val="Arial"/>
    </font>
    <font>
      <name val="Arial"/>
    </font>
    <font>
      <color rgb="FF181A1B"/>
      <name val="Arial"/>
    </font>
    <font>
      <b/>
      <name val="Arial"/>
    </font>
    <font>
      <color rgb="FF000000"/>
      <name val="Arial"/>
    </font>
    <font>
      <b/>
      <color rgb="FF000000"/>
      <name val="Arial"/>
    </font>
    <font>
      <color rgb="FF000000"/>
    </font>
    <font>
      <sz val="10.0"/>
    </font>
    <font>
      <color rgb="FF181A1B"/>
    </font>
    <font>
      <color rgb="FFFFFFFF"/>
      <name val="Arial"/>
    </font>
    <font>
      <b/>
      <sz val="24.0"/>
      <name val="Arial"/>
    </font>
    <font>
      <color rgb="FF000000"/>
      <name val="Monospace"/>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8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horizontal="lef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2" fontId="9" numFmtId="0" xfId="0" applyAlignment="1" applyFill="1" applyFont="1">
      <alignment shrinkToFit="0" vertical="bottom" wrapText="1"/>
    </xf>
    <xf borderId="0" fillId="2" fontId="10" numFmtId="0" xfId="0" applyAlignment="1" applyFont="1">
      <alignment shrinkToFit="0" vertical="bottom" wrapText="1"/>
    </xf>
    <xf borderId="0" fillId="0" fontId="1" numFmtId="0" xfId="0" applyAlignment="1" applyFont="1">
      <alignment readingOrder="0" shrinkToFit="0" wrapText="0"/>
    </xf>
    <xf borderId="0" fillId="0" fontId="11" numFmtId="0" xfId="0" applyAlignment="1" applyFont="1">
      <alignment readingOrder="0" shrinkToFit="0" vertical="bottom"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2" fontId="12" numFmtId="164" xfId="0" applyAlignment="1" applyFont="1" applyNumberFormat="1">
      <alignment readingOrder="0" shrinkToFit="0" vertical="bottom" wrapText="1"/>
    </xf>
    <xf borderId="0" fillId="0" fontId="2" numFmtId="164" xfId="0" applyAlignment="1" applyFont="1" applyNumberFormat="1">
      <alignment horizontal="left" readingOrder="0" shrinkToFit="0" wrapText="0"/>
    </xf>
    <xf borderId="0" fillId="4" fontId="12" numFmtId="165" xfId="0" applyAlignment="1" applyFill="1" applyFont="1" applyNumberFormat="1">
      <alignment readingOrder="0" shrinkToFit="0" vertical="bottom" wrapText="1"/>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4" xfId="0" applyAlignment="1" applyFont="1" applyNumberFormat="1">
      <alignment horizontal="left" shrinkToFit="0" wrapText="0"/>
    </xf>
    <xf borderId="0" fillId="0" fontId="2" numFmtId="164" xfId="0" applyAlignment="1" applyFont="1" applyNumberFormat="1">
      <alignment horizontal="left" shrinkToFit="0" wrapText="0"/>
    </xf>
    <xf borderId="0" fillId="0" fontId="2" numFmtId="0" xfId="0" applyAlignment="1" applyFont="1">
      <alignment horizontal="left" shrinkToFit="0" wrapText="0"/>
    </xf>
    <xf borderId="0" fillId="2" fontId="13" numFmtId="0" xfId="0" applyAlignment="1" applyFont="1">
      <alignment shrinkToFit="0" vertical="bottom" wrapText="1"/>
    </xf>
    <xf borderId="0" fillId="3" fontId="14" numFmtId="0" xfId="0" applyAlignment="1" applyFont="1">
      <alignment shrinkToFit="0" vertical="bottom" wrapText="1"/>
    </xf>
    <xf borderId="0" fillId="4" fontId="11" numFmtId="0" xfId="0" applyAlignment="1" applyFont="1">
      <alignment shrinkToFit="0" vertical="bottom" wrapText="1"/>
    </xf>
    <xf borderId="0" fillId="2" fontId="14" numFmtId="0" xfId="0" applyAlignment="1" applyFont="1">
      <alignment readingOrder="0" shrinkToFit="0" vertical="bottom" wrapText="1"/>
    </xf>
    <xf borderId="0" fillId="2" fontId="13" numFmtId="0" xfId="0" applyAlignment="1" applyFont="1">
      <alignment readingOrder="0" shrinkToFit="0" vertical="bottom" wrapText="1"/>
    </xf>
    <xf borderId="0" fillId="4" fontId="14" numFmtId="0" xfId="0" applyAlignment="1" applyFont="1">
      <alignment readingOrder="0" shrinkToFit="0" vertical="bottom" wrapText="1"/>
    </xf>
    <xf borderId="0" fillId="4" fontId="14" numFmtId="0" xfId="0" applyAlignment="1" applyFont="1">
      <alignment shrinkToFit="0" vertical="bottom" wrapText="1"/>
    </xf>
    <xf borderId="0" fillId="4" fontId="15" numFmtId="0" xfId="0" applyAlignment="1" applyFont="1">
      <alignment readingOrder="0" shrinkToFit="0" vertical="bottom" wrapText="1"/>
    </xf>
    <xf borderId="0" fillId="2" fontId="14" numFmtId="0" xfId="0" applyAlignment="1" applyFont="1">
      <alignment shrinkToFit="0" vertical="bottom" wrapText="1"/>
    </xf>
    <xf borderId="0" fillId="2" fontId="15" numFmtId="0" xfId="0" applyAlignment="1" applyFont="1">
      <alignment readingOrder="0" shrinkToFit="0" vertical="bottom" wrapText="1"/>
    </xf>
    <xf borderId="0" fillId="4" fontId="11" numFmtId="0" xfId="0" applyAlignment="1" applyFont="1">
      <alignment shrinkToFit="0" vertical="bottom" wrapText="1"/>
    </xf>
    <xf borderId="0" fillId="2" fontId="13" numFmtId="0" xfId="0" applyAlignment="1" applyFont="1">
      <alignment shrinkToFit="0" vertical="bottom" wrapText="1"/>
    </xf>
    <xf borderId="0" fillId="2" fontId="14" numFmtId="0" xfId="0" applyAlignment="1" applyFont="1">
      <alignment readingOrder="0" shrinkToFit="0" vertical="bottom" wrapText="1"/>
    </xf>
    <xf borderId="0" fillId="0" fontId="2" numFmtId="0" xfId="0" applyAlignment="1" applyFont="1">
      <alignment shrinkToFit="0" wrapText="1"/>
    </xf>
    <xf borderId="0" fillId="4" fontId="11" numFmtId="0" xfId="0" applyAlignment="1" applyFont="1">
      <alignment readingOrder="0" shrinkToFit="0" vertical="top" wrapText="1"/>
    </xf>
    <xf borderId="0" fillId="0" fontId="16" numFmtId="0" xfId="0" applyAlignment="1" applyFont="1">
      <alignment readingOrder="0" shrinkToFit="0" wrapText="1"/>
    </xf>
    <xf borderId="0" fillId="0" fontId="1" numFmtId="0" xfId="0" applyAlignment="1" applyFont="1">
      <alignment shrinkToFit="0" wrapText="1"/>
    </xf>
    <xf borderId="0" fillId="0" fontId="17"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6" fontId="13" numFmtId="0" xfId="0" applyAlignment="1" applyFill="1" applyFont="1">
      <alignment horizontal="left" shrinkToFit="0" vertical="bottom" wrapText="0"/>
    </xf>
    <xf borderId="0" fillId="6" fontId="11" numFmtId="0" xfId="0" applyAlignment="1" applyFont="1">
      <alignment shrinkToFit="0" vertical="bottom" wrapText="0"/>
    </xf>
    <xf borderId="0" fillId="6" fontId="11" numFmtId="0" xfId="0" applyAlignment="1" applyFont="1">
      <alignment shrinkToFit="0" vertical="bottom" wrapText="1"/>
    </xf>
    <xf borderId="0" fillId="4" fontId="13" numFmtId="0" xfId="0" applyAlignment="1" applyFont="1">
      <alignment shrinkToFit="0" vertical="bottom" wrapText="0"/>
    </xf>
    <xf borderId="0" fillId="4" fontId="2" numFmtId="0" xfId="0" applyAlignment="1" applyFont="1">
      <alignment shrinkToFit="0" wrapText="0"/>
    </xf>
    <xf borderId="0" fillId="4" fontId="11" numFmtId="0" xfId="0" applyAlignment="1" applyFont="1">
      <alignment horizontal="right" shrinkToFit="0" vertical="bottom" wrapText="0"/>
    </xf>
    <xf borderId="0" fillId="7" fontId="13" numFmtId="0" xfId="0" applyAlignment="1" applyFill="1" applyFont="1">
      <alignment horizontal="left" shrinkToFit="0" vertical="bottom" wrapText="0"/>
    </xf>
    <xf borderId="0" fillId="7" fontId="13" numFmtId="0" xfId="0" applyAlignment="1" applyFont="1">
      <alignment shrinkToFit="0" vertical="bottom" wrapText="0"/>
    </xf>
    <xf borderId="0" fillId="7"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4" fontId="13" numFmtId="0" xfId="0" applyAlignment="1" applyFont="1">
      <alignment shrinkToFit="0" vertical="bottom" wrapText="0"/>
    </xf>
    <xf borderId="0" fillId="4" fontId="11" numFmtId="0" xfId="0" applyAlignment="1" applyFont="1">
      <alignment shrinkToFit="0" vertical="bottom" wrapText="1"/>
    </xf>
    <xf borderId="0" fillId="4" fontId="11" numFmtId="0" xfId="0" applyAlignment="1" applyFont="1">
      <alignment horizontal="right" shrinkToFit="0" vertical="bottom" wrapText="0"/>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8" fontId="13" numFmtId="0" xfId="0" applyAlignment="1" applyFill="1" applyFont="1">
      <alignment horizontal="left" shrinkToFit="0" vertical="bottom" wrapText="0"/>
    </xf>
    <xf borderId="0" fillId="8" fontId="13" numFmtId="0" xfId="0" applyAlignment="1" applyFont="1">
      <alignment shrinkToFit="0" vertical="bottom" wrapText="0"/>
    </xf>
    <xf borderId="0" fillId="8" fontId="11" numFmtId="0" xfId="0" applyAlignment="1" applyFont="1">
      <alignment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4" fontId="12" numFmtId="0" xfId="0" applyAlignment="1" applyFont="1">
      <alignment readingOrder="0" shrinkToFit="0" vertical="bottom" wrapText="1"/>
    </xf>
    <xf borderId="0" fillId="2" fontId="13" numFmtId="0" xfId="0" applyAlignment="1" applyFont="1">
      <alignment horizontal="left" readingOrder="0" shrinkToFit="0" vertical="bottom" wrapText="1"/>
    </xf>
    <xf borderId="0" fillId="2" fontId="12" numFmtId="0" xfId="0" applyAlignment="1" applyFont="1">
      <alignment readingOrder="0" shrinkToFit="0" vertical="bottom" wrapText="1"/>
    </xf>
    <xf borderId="0" fillId="5" fontId="1" numFmtId="0" xfId="0" applyAlignment="1" applyFont="1">
      <alignment readingOrder="0" shrinkToFit="0" wrapText="0"/>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3" fontId="13" numFmtId="0" xfId="0" applyAlignment="1" applyFont="1">
      <alignment shrinkToFit="0" vertical="bottom" wrapText="1"/>
    </xf>
    <xf borderId="0" fillId="7" fontId="13" numFmtId="0" xfId="0" applyAlignment="1" applyFont="1">
      <alignment shrinkToFit="0" vertical="bottom" wrapText="0"/>
    </xf>
    <xf borderId="0" fillId="4" fontId="12" numFmtId="0" xfId="0" applyAlignment="1" applyFont="1">
      <alignment horizontal="left" readingOrder="0" shrinkToFit="0" vertical="bottom" wrapText="1"/>
    </xf>
    <xf borderId="0" fillId="2" fontId="12" numFmtId="0" xfId="0" applyAlignment="1" applyFont="1">
      <alignment horizontal="left" readingOrder="0" shrinkToFit="0" vertical="bottom" wrapText="1"/>
    </xf>
    <xf borderId="0" fillId="4" fontId="13" numFmtId="0" xfId="0" applyAlignment="1" applyFont="1">
      <alignment horizontal="left" shrinkToFit="0" vertical="bottom" wrapText="0"/>
    </xf>
    <xf borderId="0" fillId="4" fontId="12" numFmtId="0" xfId="0" applyAlignment="1" applyFont="1">
      <alignment readingOrder="0" shrinkToFit="0" vertical="bottom" wrapText="1"/>
    </xf>
    <xf borderId="0" fillId="4" fontId="11" numFmtId="0" xfId="0" applyAlignment="1" applyFont="1">
      <alignment horizontal="left" shrinkToFit="0" vertical="bottom" wrapText="1"/>
    </xf>
    <xf borderId="0" fillId="4" fontId="12" numFmtId="0" xfId="0" applyAlignment="1" applyFont="1">
      <alignment readingOrder="0" shrinkToFit="0" vertical="bottom" wrapText="0"/>
    </xf>
    <xf borderId="0" fillId="4" fontId="12" numFmtId="0" xfId="0" applyAlignment="1" applyFont="1">
      <alignment horizontal="right" readingOrder="0" shrinkToFit="0" vertical="bottom" wrapText="0"/>
    </xf>
    <xf borderId="0" fillId="4" fontId="11" numFmtId="0" xfId="0" applyAlignment="1" applyFont="1">
      <alignment shrinkToFit="0" vertical="bottom" wrapText="0"/>
    </xf>
    <xf borderId="0" fillId="4" fontId="2" numFmtId="0" xfId="0" applyAlignment="1" applyFont="1">
      <alignment shrinkToFit="0" wrapText="1"/>
    </xf>
    <xf borderId="0" fillId="4" fontId="12" numFmtId="0" xfId="0" applyAlignment="1" applyFont="1">
      <alignment horizontal="right" readingOrder="0" shrinkToFit="0" vertical="bottom" wrapText="1"/>
    </xf>
    <xf borderId="0" fillId="4" fontId="14" numFmtId="0" xfId="0" applyAlignment="1" applyFont="1">
      <alignment readingOrder="0" shrinkToFit="0" vertical="bottom" wrapText="1"/>
    </xf>
    <xf borderId="0" fillId="4" fontId="11" numFmtId="0" xfId="0" applyAlignment="1" applyFont="1">
      <alignment readingOrder="0" shrinkToFit="0" vertical="bottom" wrapText="0"/>
    </xf>
    <xf borderId="0" fillId="4" fontId="11" numFmtId="0" xfId="0" applyAlignment="1" applyFont="1">
      <alignment horizontal="right" shrinkToFit="0" vertical="bottom" wrapText="1"/>
    </xf>
    <xf borderId="0" fillId="4" fontId="16" numFmtId="0" xfId="0" applyAlignment="1" applyFont="1">
      <alignment readingOrder="0" shrinkToFit="0" wrapText="0"/>
    </xf>
    <xf borderId="0" fillId="4" fontId="2" numFmtId="0" xfId="0" applyAlignment="1" applyFont="1">
      <alignment readingOrder="0" shrinkToFit="0" wrapText="1"/>
    </xf>
    <xf borderId="0" fillId="4" fontId="18" numFmtId="0" xfId="0" applyAlignment="1" applyFont="1">
      <alignment readingOrder="0" shrinkToFit="0" wrapText="1"/>
    </xf>
    <xf borderId="0" fillId="4" fontId="16" numFmtId="0" xfId="0" applyAlignment="1" applyFont="1">
      <alignment readingOrder="0" shrinkToFit="0" wrapText="1"/>
    </xf>
    <xf borderId="0" fillId="4" fontId="2" numFmtId="0" xfId="0" applyAlignment="1" applyFont="1">
      <alignment readingOrder="0" shrinkToFit="0" wrapText="0"/>
    </xf>
    <xf borderId="0" fillId="4" fontId="0" numFmtId="0" xfId="0" applyAlignment="1" applyFont="1">
      <alignment readingOrder="0" shrinkToFit="0" wrapText="1"/>
    </xf>
    <xf borderId="0" fillId="4" fontId="11" numFmtId="0" xfId="0" applyAlignment="1" applyFont="1">
      <alignment readingOrder="0" shrinkToFit="0" vertical="bottom" wrapText="1"/>
    </xf>
    <xf borderId="0" fillId="2" fontId="11" numFmtId="0" xfId="0" applyAlignment="1" applyFont="1">
      <alignment shrinkToFit="0" vertical="bottom" wrapText="1"/>
    </xf>
    <xf borderId="0" fillId="2" fontId="12" numFmtId="0" xfId="0" applyAlignment="1" applyFont="1">
      <alignment readingOrder="0" shrinkToFit="0" vertical="bottom" wrapText="0"/>
    </xf>
    <xf borderId="0" fillId="2" fontId="12" numFmtId="0" xfId="0" applyAlignment="1" applyFont="1">
      <alignment horizontal="right" readingOrder="0" shrinkToFit="0" vertical="bottom" wrapText="0"/>
    </xf>
    <xf borderId="0" fillId="0" fontId="1" numFmtId="0" xfId="0" applyAlignment="1" applyFont="1">
      <alignment readingOrder="0" shrinkToFit="0" wrapText="0"/>
    </xf>
    <xf borderId="0" fillId="5" fontId="1" numFmtId="0" xfId="0" applyAlignment="1" applyFont="1">
      <alignment readingOrder="0" shrinkToFit="0" wrapText="0"/>
    </xf>
    <xf borderId="0" fillId="3" fontId="13" numFmtId="0" xfId="0" applyAlignment="1" applyFont="1">
      <alignment shrinkToFit="0" vertical="bottom" wrapText="1"/>
    </xf>
    <xf borderId="0" fillId="3" fontId="13" numFmtId="0" xfId="0" applyAlignment="1" applyFont="1">
      <alignment readingOrder="0" shrinkToFit="0" vertical="bottom" wrapText="0"/>
    </xf>
    <xf borderId="0" fillId="0" fontId="16" numFmtId="0" xfId="0" applyAlignment="1" applyFont="1">
      <alignment shrinkToFit="0" wrapText="1"/>
    </xf>
    <xf borderId="0" fillId="3" fontId="13" numFmtId="0" xfId="0" applyAlignment="1" applyFont="1">
      <alignment shrinkToFit="0" vertical="center" wrapText="1"/>
    </xf>
    <xf borderId="0" fillId="3" fontId="13" numFmtId="0" xfId="0" applyAlignment="1" applyFont="1">
      <alignment horizontal="center" shrinkToFit="0" vertical="center" wrapText="1"/>
    </xf>
    <xf borderId="0" fillId="3" fontId="13" numFmtId="4" xfId="0" applyAlignment="1" applyFont="1" applyNumberFormat="1">
      <alignment shrinkToFit="0" vertical="center" wrapText="1"/>
    </xf>
    <xf borderId="0" fillId="3" fontId="11" numFmtId="4" xfId="0" applyAlignment="1" applyFont="1" applyNumberFormat="1">
      <alignment shrinkToFit="0" vertical="center" wrapText="1"/>
    </xf>
    <xf borderId="0" fillId="3" fontId="11" numFmtId="0" xfId="0" applyAlignment="1" applyFont="1">
      <alignment shrinkToFit="0" vertical="center" wrapText="1"/>
    </xf>
    <xf borderId="0" fillId="3" fontId="1" numFmtId="0" xfId="0" applyAlignment="1" applyFont="1">
      <alignment shrinkToFit="0" vertical="center" wrapText="1"/>
    </xf>
    <xf borderId="0" fillId="2" fontId="13" numFmtId="0" xfId="0" applyAlignment="1" applyFont="1">
      <alignment shrinkToFit="0" vertical="center" wrapText="1"/>
    </xf>
    <xf borderId="0" fillId="5" fontId="11" numFmtId="0" xfId="0" applyAlignment="1" applyFont="1">
      <alignment horizontal="center" readingOrder="0" shrinkToFit="0" vertical="center" wrapText="1"/>
    </xf>
    <xf borderId="0" fillId="2" fontId="11" numFmtId="4" xfId="0" applyAlignment="1" applyFont="1" applyNumberFormat="1">
      <alignment shrinkToFit="0" vertical="center" wrapText="1"/>
    </xf>
    <xf borderId="0" fillId="8" fontId="20" numFmtId="4" xfId="0" applyAlignment="1" applyFont="1" applyNumberFormat="1">
      <alignment horizontal="center" shrinkToFit="0" vertical="center" wrapText="1"/>
    </xf>
    <xf borderId="0" fillId="8" fontId="20" numFmtId="0" xfId="0" applyAlignment="1" applyFont="1">
      <alignment horizontal="center" shrinkToFit="0" vertical="center" wrapText="1"/>
    </xf>
    <xf borderId="0" fillId="2" fontId="2" numFmtId="0" xfId="0" applyAlignment="1" applyFont="1">
      <alignment shrinkToFit="0" vertical="center" wrapText="1"/>
    </xf>
    <xf borderId="0" fillId="4" fontId="13" numFmtId="0" xfId="0" applyAlignment="1" applyFont="1">
      <alignment shrinkToFit="0" vertical="center" wrapText="1"/>
    </xf>
    <xf borderId="0" fillId="4" fontId="11" numFmtId="4" xfId="0" applyAlignment="1" applyFont="1" applyNumberFormat="1">
      <alignment shrinkToFit="0" vertical="center" wrapText="1"/>
    </xf>
    <xf borderId="0" fillId="4" fontId="2" numFmtId="0" xfId="0" applyAlignment="1" applyFont="1">
      <alignment shrinkToFit="0" vertical="center" wrapText="1"/>
    </xf>
    <xf borderId="0" fillId="5" fontId="11" numFmtId="0" xfId="0" applyAlignment="1" applyFont="1">
      <alignment horizontal="center" shrinkToFit="0" vertical="center" wrapText="1"/>
    </xf>
    <xf borderId="0" fillId="5" fontId="11" numFmtId="0" xfId="0" applyAlignment="1" applyFont="1">
      <alignment horizontal="center" shrinkToFit="0" vertical="center" wrapText="1"/>
    </xf>
    <xf borderId="0" fillId="4" fontId="11" numFmtId="0" xfId="0" applyAlignment="1" applyFont="1">
      <alignment shrinkToFit="0" vertical="center" wrapText="1"/>
    </xf>
    <xf borderId="0" fillId="2" fontId="11" numFmtId="0" xfId="0" applyAlignment="1" applyFont="1">
      <alignment shrinkToFit="0" vertical="center" wrapText="1"/>
    </xf>
    <xf borderId="0" fillId="7" fontId="11" numFmtId="0" xfId="0" applyAlignment="1" applyFont="1">
      <alignment horizontal="center" shrinkToFit="0" vertical="center" wrapText="1"/>
    </xf>
    <xf borderId="0" fillId="7" fontId="11" numFmtId="0" xfId="0" applyAlignment="1" applyFont="1">
      <alignment readingOrder="0" shrinkToFit="0" vertical="center" wrapText="1"/>
    </xf>
    <xf borderId="0" fillId="2" fontId="1" numFmtId="0" xfId="0" applyAlignment="1" applyFont="1">
      <alignment shrinkToFit="0" wrapText="0"/>
    </xf>
    <xf borderId="0" fillId="2" fontId="1"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xf borderId="0" fillId="2" fontId="21" numFmtId="0" xfId="0" applyAlignment="1" applyFont="1">
      <alignment readingOrder="0" shrinkToFit="0"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oal-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Story Points </c:v>
          </c:tx>
          <c:spPr>
            <a:solidFill>
              <a:srgbClr val="4285F4"/>
            </a:solidFill>
            <a:ln cmpd="sng">
              <a:noFill/>
            </a:ln>
          </c:spPr>
          <c:trendline>
            <c:name>Trend SP/Sprint</c:name>
            <c:spPr>
              <a:ln w="19050">
                <a:solidFill>
                  <a:srgbClr val="000000"/>
                </a:solidFill>
              </a:ln>
            </c:spPr>
            <c:trendlineType val="linear"/>
            <c:dispRSqr val="0"/>
            <c:dispEq val="0"/>
          </c:trendline>
          <c:cat>
            <c:strRef>
              <c:f>'Velocity Tracking'!$A$2:$A$13</c:f>
            </c:strRef>
          </c:cat>
          <c:val>
            <c:numRef>
              <c:f>'Velocity Tracking'!$B$2:$B$13</c:f>
              <c:numCache/>
            </c:numRef>
          </c:val>
        </c:ser>
        <c:axId val="1593384122"/>
        <c:axId val="593454527"/>
      </c:barChart>
      <c:catAx>
        <c:axId val="159338412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593454527"/>
      </c:catAx>
      <c:valAx>
        <c:axId val="5934545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59338412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Remaining</c:v>
          </c:tx>
          <c:spPr>
            <a:solidFill>
              <a:srgbClr val="4285F4"/>
            </a:solidFill>
            <a:ln cmpd="sng">
              <a:noFill/>
            </a:ln>
          </c:spPr>
          <c:cat>
            <c:strRef>
              <c:f>'Mid-Project Release plan'!$A$9:$A$14</c:f>
            </c:strRef>
          </c:cat>
          <c:val>
            <c:numRef>
              <c:f>'Mid-Project Release plan'!$E$9:$E$14</c:f>
              <c:numCache/>
            </c:numRef>
          </c:val>
        </c:ser>
        <c:ser>
          <c:idx val="1"/>
          <c:order val="1"/>
          <c:tx>
            <c:v>Real remaining</c:v>
          </c:tx>
          <c:spPr>
            <a:solidFill>
              <a:srgbClr val="DB4437"/>
            </a:solidFill>
            <a:ln cmpd="sng">
              <a:noFill/>
            </a:ln>
          </c:spPr>
          <c:cat>
            <c:strRef>
              <c:f>'Mid-Project Release plan'!$A$9:$A$14</c:f>
            </c:strRef>
          </c:cat>
          <c:val>
            <c:numRef>
              <c:f>'Mid-Project Release plan'!$G$9:$G$14</c:f>
              <c:numCache/>
            </c:numRef>
          </c:val>
        </c:ser>
        <c:axId val="1081395325"/>
        <c:axId val="1913671046"/>
      </c:barChart>
      <c:catAx>
        <c:axId val="108139532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913671046"/>
      </c:catAx>
      <c:valAx>
        <c:axId val="19136710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Stroypoints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081395325"/>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Final Project Burndown Chart</a:t>
            </a:r>
          </a:p>
        </c:rich>
      </c:tx>
      <c:overlay val="0"/>
    </c:title>
    <c:plotArea>
      <c:layout/>
      <c:barChart>
        <c:barDir val="col"/>
        <c:ser>
          <c:idx val="0"/>
          <c:order val="0"/>
          <c:tx>
            <c:v>Estimated Remaining</c:v>
          </c:tx>
          <c:spPr>
            <a:solidFill>
              <a:srgbClr val="4285F4"/>
            </a:solidFill>
            <a:ln cmpd="sng">
              <a:noFill/>
            </a:ln>
          </c:spPr>
          <c:cat>
            <c:strRef>
              <c:f>'Final Project Release plan'!$A$9:$A$15</c:f>
            </c:strRef>
          </c:cat>
          <c:val>
            <c:numRef>
              <c:f>'Final Project Release plan'!$E$9:$E$15</c:f>
              <c:numCache/>
            </c:numRef>
          </c:val>
        </c:ser>
        <c:ser>
          <c:idx val="1"/>
          <c:order val="1"/>
          <c:tx>
            <c:v>Real Remaining</c:v>
          </c:tx>
          <c:spPr>
            <a:solidFill>
              <a:srgbClr val="DB4437"/>
            </a:solidFill>
            <a:ln cmpd="sng">
              <a:noFill/>
            </a:ln>
          </c:spPr>
          <c:cat>
            <c:strRef>
              <c:f>'Final Project Release plan'!$A$9:$A$15</c:f>
            </c:strRef>
          </c:cat>
          <c:val>
            <c:numRef>
              <c:f>'Final Project Release plan'!$G$9:$G$15</c:f>
              <c:numCache/>
            </c:numRef>
          </c:val>
        </c:ser>
        <c:axId val="561921187"/>
        <c:axId val="598198111"/>
      </c:barChart>
      <c:catAx>
        <c:axId val="56192118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598198111"/>
      </c:catAx>
      <c:valAx>
        <c:axId val="5981981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561921187"/>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1914525</xdr:colOff>
      <xdr:row>0</xdr:row>
      <xdr:rowOff>19050</xdr:rowOff>
    </xdr:from>
    <xdr:ext cx="4848225" cy="30003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4</xdr:row>
      <xdr:rowOff>76200</xdr:rowOff>
    </xdr:from>
    <xdr:ext cx="7581900" cy="468630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1657350</xdr:colOff>
      <xdr:row>3</xdr:row>
      <xdr:rowOff>76200</xdr:rowOff>
    </xdr:from>
    <xdr:ext cx="8420100" cy="52101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Zero Downtime Linux Update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3"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Product Vision" id="1"/>
    <tableColumn name="Project Mission" id="2"/>
  </tableColumns>
  <tableStyleInfo name="Product Goal-style" showColumnStripes="0" showFirstColumn="1" showLastColumn="1" showRowStripes="1"/>
</table>
</file>

<file path=xl/tables/table6.xml><?xml version="1.0" encoding="utf-8"?>
<table xmlns="http://schemas.openxmlformats.org/spreadsheetml/2006/main" ref="A1:B20" displayName="Table_6" name="Table_6" id="6">
  <tableColumns count="2">
    <tableColumn name="Term" id="1"/>
    <tableColumn name="Definition" id="2"/>
  </tableColumns>
  <tableStyleInfo name="Product Glossary-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print goal" id="2"/>
  </tableColumns>
  <tableStyleInfo name="Sprint Goals-style" showColumnStripes="0" showFirstColumn="1" showLastColumn="1" showRowStripes="1"/>
</table>
</file>

<file path=xl/tables/table8.xml><?xml version="1.0" encoding="utf-8"?>
<table xmlns="http://schemas.openxmlformats.org/spreadsheetml/2006/main" ref="A1:B20"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headerRowCount="0" ref="A1:B20" displayName="Table_9" name="Table_9" id="9">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59"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1.xml><?xml version="1.0" encoding="utf-8"?>
<table xmlns="http://schemas.openxmlformats.org/spreadsheetml/2006/main" ref="A1:G83" displayName="Table_11" name="Table_11" id="11">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2.xml><?xml version="1.0" encoding="utf-8"?>
<table xmlns="http://schemas.openxmlformats.org/spreadsheetml/2006/main" ref="A1:G42" displayName="Table_12" name="Table_12" id="12">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Burndown Chart-style" showColumnStripes="0" showFirstColumn="1" showLastColumn="1" showRowStripes="1"/>
</table>
</file>

<file path=xl/tables/table13.xml><?xml version="1.0" encoding="utf-8"?>
<table xmlns="http://schemas.openxmlformats.org/spreadsheetml/2006/main" ref="A1:D23" displayName="Table_13" name="Table_13" id="13">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4.xml><?xml version="1.0" encoding="utf-8"?>
<table xmlns="http://schemas.openxmlformats.org/spreadsheetml/2006/main" ref="A1:B20" displayName="Table_14" name="Table_14" id="14">
  <tableColumns count="2">
    <tableColumn name="Type" id="1"/>
    <tableColumn name="Link / reference" id="2"/>
  </tableColumns>
  <tableStyleInfo name="Documentation-style" showColumnStripes="0" showFirstColumn="1" showLastColumn="1" showRowStripes="1"/>
</table>
</file>

<file path=xl/tables/table15.xml><?xml version="1.0" encoding="utf-8"?>
<table xmlns="http://schemas.openxmlformats.org/spreadsheetml/2006/main" ref="A1:F48" displayName="Table_15" name="Table_15" id="15">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2406759921?pwd=ahCbJqSuz3RaljImkCzVHeSgzqLg2k.1" TargetMode="External"/><Relationship Id="rId2" Type="http://schemas.openxmlformats.org/officeDocument/2006/relationships/hyperlink" Target="https://github.com/amosproj/amos2026ss01-zero-downtime-linux-updates" TargetMode="External"/><Relationship Id="rId3" Type="http://schemas.openxmlformats.org/officeDocument/2006/relationships/hyperlink" Target="https://github.com/orgs/amosproj/projects/97" TargetMode="External"/><Relationship Id="rId4" Type="http://schemas.openxmlformats.org/officeDocument/2006/relationships/hyperlink" Target="https://github.com/orgs/amosproj/projects/101"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t2YLAtlYDVOOcjJW6gzq/" TargetMode="External"/><Relationship Id="rId5" Type="http://schemas.openxmlformats.org/officeDocument/2006/relationships/hyperlink" Target="https://github.com/amosproj/amos2026ss01-zero-downtime-linux-updates/blob/main/Deliverables/sprint-01/team-logo.svg" TargetMode="External"/><Relationship Id="rId6" Type="http://schemas.openxmlformats.org/officeDocument/2006/relationships/hyperlink" Target="https://github.com/amosproj/amos2026ss01-zero-downtime-linux-updates/blob/main/Deliverables/sprint-01/team-logo.svg" TargetMode="External"/><Relationship Id="rId7" Type="http://schemas.openxmlformats.org/officeDocument/2006/relationships/hyperlink" Target="https://discord.gg/cBnpkJKNEu" TargetMode="External"/><Relationship Id="rId8" Type="http://schemas.openxmlformats.org/officeDocument/2006/relationships/hyperlink" Target="https://happy.uni1.de/log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1" Type="http://schemas.openxmlformats.org/officeDocument/2006/relationships/hyperlink" Target="https://github.com/dalek-cryptography/curve25519-dalek" TargetMode="External"/><Relationship Id="rId10" Type="http://schemas.openxmlformats.org/officeDocument/2006/relationships/hyperlink" Target="https://github.com/serde-rs/json" TargetMode="External"/><Relationship Id="rId13" Type="http://schemas.openxmlformats.org/officeDocument/2006/relationships/hyperlink" Target="https://github.com/tokio-rs/tracing" TargetMode="External"/><Relationship Id="rId12" Type="http://schemas.openxmlformats.org/officeDocument/2006/relationships/hyperlink" Target="https://github.com/clap-rs/clap" TargetMode="External"/><Relationship Id="rId1" Type="http://schemas.openxmlformats.org/officeDocument/2006/relationships/hyperlink" Target="https://github.com/rust-cli/config-rs" TargetMode="External"/><Relationship Id="rId2" Type="http://schemas.openxmlformats.org/officeDocument/2006/relationships/hyperlink" Target="https://github.com/rust-cli/env_logger" TargetMode="External"/><Relationship Id="rId3" Type="http://schemas.openxmlformats.org/officeDocument/2006/relationships/hyperlink" Target="https://github.com/rust-lang/log" TargetMode="External"/><Relationship Id="rId4" Type="http://schemas.openxmlformats.org/officeDocument/2006/relationships/hyperlink" Target="https://github.com/serde-rs/serde" TargetMode="External"/><Relationship Id="rId9" Type="http://schemas.openxmlformats.org/officeDocument/2006/relationships/hyperlink" Target="https://github.com/marshallpierce/rust-base64" TargetMode="External"/><Relationship Id="rId15" Type="http://schemas.openxmlformats.org/officeDocument/2006/relationships/hyperlink" Target="https://github.com/Keats/jsonwebtoken" TargetMode="External"/><Relationship Id="rId14" Type="http://schemas.openxmlformats.org/officeDocument/2006/relationships/hyperlink" Target="https://github.com/SeaQL/sea-orm" TargetMode="External"/><Relationship Id="rId17" Type="http://schemas.openxmlformats.org/officeDocument/2006/relationships/drawing" Target="../drawings/drawing17.xml"/><Relationship Id="rId16" Type="http://schemas.openxmlformats.org/officeDocument/2006/relationships/hyperlink" Target="https://github.com/parallaxsecond/rust-tss-esapi" TargetMode="External"/><Relationship Id="rId5" Type="http://schemas.openxmlformats.org/officeDocument/2006/relationships/hyperlink" Target="https://github.com/tokio-rs/tokio" TargetMode="External"/><Relationship Id="rId19" Type="http://schemas.openxmlformats.org/officeDocument/2006/relationships/table" Target="../tables/table15.xml"/><Relationship Id="rId6" Type="http://schemas.openxmlformats.org/officeDocument/2006/relationships/hyperlink" Target="https://github.com/seanmonstar/reqwest" TargetMode="External"/><Relationship Id="rId7" Type="http://schemas.openxmlformats.org/officeDocument/2006/relationships/hyperlink" Target="https://github.com/dtolnay/anyhow" TargetMode="External"/><Relationship Id="rId8" Type="http://schemas.openxmlformats.org/officeDocument/2006/relationships/hyperlink" Target="https://github.com/rust-lang/futures-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v>3.0</v>
      </c>
    </row>
    <row r="5">
      <c r="A5" s="4" t="s">
        <v>4</v>
      </c>
    </row>
    <row r="6">
      <c r="A6" s="4" t="s">
        <v>5</v>
      </c>
      <c r="B6" s="2" t="s">
        <v>6</v>
      </c>
    </row>
    <row r="7">
      <c r="A7" s="1"/>
      <c r="B7" s="3"/>
    </row>
    <row r="8">
      <c r="A8" s="4" t="s">
        <v>7</v>
      </c>
      <c r="B8" s="6" t="s">
        <v>8</v>
      </c>
    </row>
    <row r="9">
      <c r="A9" s="4" t="s">
        <v>9</v>
      </c>
      <c r="B9" s="5" t="s">
        <v>10</v>
      </c>
    </row>
    <row r="10">
      <c r="A10" s="4" t="s">
        <v>11</v>
      </c>
      <c r="B10" s="5" t="s">
        <v>12</v>
      </c>
    </row>
    <row r="11">
      <c r="A11" s="1"/>
    </row>
    <row r="12">
      <c r="A12" s="7" t="s">
        <v>13</v>
      </c>
      <c r="B12" s="8" t="s">
        <v>14</v>
      </c>
    </row>
    <row r="13">
      <c r="A13" s="4" t="s">
        <v>15</v>
      </c>
      <c r="B13" s="9" t="s">
        <v>16</v>
      </c>
    </row>
    <row r="14">
      <c r="A14" s="4" t="s">
        <v>17</v>
      </c>
      <c r="B14" s="10" t="s">
        <v>16</v>
      </c>
    </row>
    <row r="15">
      <c r="A15" s="1"/>
      <c r="B15" s="3"/>
    </row>
    <row r="16">
      <c r="A16" s="1" t="s">
        <v>18</v>
      </c>
      <c r="B16" s="5" t="s">
        <v>19</v>
      </c>
    </row>
    <row r="17">
      <c r="A17" s="1"/>
      <c r="B17" s="3"/>
    </row>
    <row r="18">
      <c r="A18" s="4" t="s">
        <v>20</v>
      </c>
      <c r="B18" s="8" t="s">
        <v>21</v>
      </c>
    </row>
    <row r="19">
      <c r="A19" s="11" t="s">
        <v>22</v>
      </c>
      <c r="B19" s="9" t="s">
        <v>23</v>
      </c>
    </row>
    <row r="20">
      <c r="A20" s="12" t="s">
        <v>24</v>
      </c>
      <c r="B20" s="13" t="s">
        <v>25</v>
      </c>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4" t="s">
        <v>26</v>
      </c>
      <c r="B1" s="14" t="s">
        <v>27</v>
      </c>
      <c r="C1" s="14" t="s">
        <v>28</v>
      </c>
      <c r="D1" s="14" t="s">
        <v>29</v>
      </c>
    </row>
    <row r="2">
      <c r="A2" s="15" t="s">
        <v>30</v>
      </c>
      <c r="B2" s="15" t="s">
        <v>31</v>
      </c>
      <c r="C2" s="16" t="s">
        <v>32</v>
      </c>
      <c r="D2" s="16" t="s">
        <v>33</v>
      </c>
    </row>
    <row r="3">
      <c r="A3" s="15" t="s">
        <v>34</v>
      </c>
      <c r="B3" s="15" t="s">
        <v>35</v>
      </c>
      <c r="C3" s="17" t="s">
        <v>36</v>
      </c>
      <c r="D3" s="17" t="s">
        <v>37</v>
      </c>
    </row>
    <row r="4">
      <c r="A4" s="15" t="s">
        <v>38</v>
      </c>
      <c r="B4" s="15" t="s">
        <v>39</v>
      </c>
      <c r="C4" s="17" t="s">
        <v>40</v>
      </c>
      <c r="D4" s="17" t="s">
        <v>41</v>
      </c>
    </row>
    <row r="5">
      <c r="A5" s="15" t="s">
        <v>42</v>
      </c>
      <c r="B5" s="15" t="s">
        <v>43</v>
      </c>
      <c r="C5" s="17" t="s">
        <v>44</v>
      </c>
      <c r="D5" s="17" t="s">
        <v>45</v>
      </c>
    </row>
    <row r="6">
      <c r="A6" s="15" t="s">
        <v>46</v>
      </c>
      <c r="B6" s="15" t="s">
        <v>47</v>
      </c>
      <c r="C6" s="17" t="s">
        <v>48</v>
      </c>
      <c r="D6" s="17" t="s">
        <v>49</v>
      </c>
    </row>
    <row r="7">
      <c r="A7" s="15" t="s">
        <v>50</v>
      </c>
      <c r="B7" s="15" t="s">
        <v>35</v>
      </c>
      <c r="C7" s="17" t="s">
        <v>51</v>
      </c>
      <c r="D7" s="17" t="s">
        <v>52</v>
      </c>
    </row>
    <row r="8">
      <c r="A8" s="15" t="s">
        <v>53</v>
      </c>
      <c r="B8" s="15" t="s">
        <v>39</v>
      </c>
      <c r="C8" s="17" t="s">
        <v>54</v>
      </c>
      <c r="D8" s="17" t="s">
        <v>55</v>
      </c>
    </row>
    <row r="9">
      <c r="A9" s="15" t="s">
        <v>56</v>
      </c>
      <c r="B9" s="15" t="s">
        <v>57</v>
      </c>
      <c r="C9" s="17" t="s">
        <v>58</v>
      </c>
      <c r="D9" s="17" t="s">
        <v>59</v>
      </c>
    </row>
    <row r="10">
      <c r="A10" s="15" t="s">
        <v>60</v>
      </c>
      <c r="B10" s="15" t="s">
        <v>61</v>
      </c>
      <c r="C10" s="17" t="s">
        <v>62</v>
      </c>
      <c r="D10" s="17" t="s">
        <v>63</v>
      </c>
    </row>
    <row r="11">
      <c r="A11" s="15" t="s">
        <v>64</v>
      </c>
      <c r="B11" s="15" t="s">
        <v>65</v>
      </c>
      <c r="C11" s="17" t="s">
        <v>66</v>
      </c>
      <c r="D11" s="17" t="s">
        <v>67</v>
      </c>
    </row>
    <row r="12">
      <c r="A12" s="18"/>
      <c r="B12" s="18"/>
      <c r="C12" s="18"/>
      <c r="D12" s="18"/>
    </row>
    <row r="13">
      <c r="A13" s="14"/>
      <c r="B13" s="19"/>
      <c r="C13" s="19"/>
      <c r="D13" s="19"/>
    </row>
    <row r="14">
      <c r="A14" s="18"/>
      <c r="B14" s="16"/>
      <c r="C14" s="18"/>
      <c r="D14" s="18"/>
    </row>
    <row r="15">
      <c r="A15" s="18"/>
      <c r="B15" s="16"/>
      <c r="C15" s="18"/>
      <c r="D15" s="18"/>
    </row>
    <row r="16">
      <c r="A16" s="18"/>
      <c r="B16" s="18"/>
      <c r="C16" s="18"/>
      <c r="D16" s="18"/>
    </row>
    <row r="17">
      <c r="A17" s="18"/>
      <c r="B17" s="18"/>
      <c r="C17" s="18"/>
      <c r="D17" s="18"/>
    </row>
    <row r="18">
      <c r="A18" s="18"/>
      <c r="B18" s="18"/>
      <c r="C18" s="18"/>
      <c r="D18" s="18"/>
    </row>
    <row r="19">
      <c r="A19" s="18"/>
      <c r="B19" s="18"/>
      <c r="C19" s="18"/>
      <c r="D19" s="18"/>
    </row>
    <row r="20">
      <c r="A20" s="18"/>
      <c r="B20" s="18"/>
      <c r="C20" s="18"/>
      <c r="D20" s="1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0.88"/>
    <col customWidth="1" min="3" max="7" width="18.88"/>
    <col customWidth="1" min="8" max="8" width="50.13"/>
  </cols>
  <sheetData>
    <row r="1">
      <c r="A1" s="20"/>
      <c r="B1" s="20"/>
      <c r="C1" s="20" t="s">
        <v>68</v>
      </c>
      <c r="E1" s="20"/>
      <c r="F1" s="21"/>
      <c r="G1" s="21"/>
      <c r="H1" s="20"/>
    </row>
    <row r="2">
      <c r="A2" s="22" t="s">
        <v>69</v>
      </c>
      <c r="B2" s="22" t="s">
        <v>70</v>
      </c>
      <c r="C2" s="22" t="s">
        <v>71</v>
      </c>
      <c r="D2" s="22" t="s">
        <v>72</v>
      </c>
      <c r="E2" s="22" t="s">
        <v>73</v>
      </c>
      <c r="F2" s="23" t="s">
        <v>74</v>
      </c>
      <c r="G2" s="23" t="s">
        <v>75</v>
      </c>
      <c r="H2" s="22" t="s">
        <v>76</v>
      </c>
    </row>
    <row r="3">
      <c r="A3" s="24">
        <v>1.0</v>
      </c>
      <c r="B3" s="25">
        <v>46127.0</v>
      </c>
      <c r="C3" s="16" t="s">
        <v>34</v>
      </c>
      <c r="D3" s="16" t="s">
        <v>50</v>
      </c>
      <c r="E3" s="16" t="s">
        <v>77</v>
      </c>
      <c r="F3" s="16" t="s">
        <v>78</v>
      </c>
      <c r="G3" s="16" t="s">
        <v>79</v>
      </c>
      <c r="H3" s="26"/>
    </row>
    <row r="4">
      <c r="A4" s="24">
        <v>2.0</v>
      </c>
      <c r="B4" s="27">
        <v>46134.0</v>
      </c>
      <c r="C4" s="16" t="s">
        <v>50</v>
      </c>
      <c r="D4" s="16" t="s">
        <v>34</v>
      </c>
      <c r="E4" s="16" t="s">
        <v>77</v>
      </c>
      <c r="F4" s="16" t="s">
        <v>80</v>
      </c>
      <c r="G4" s="16" t="s">
        <v>79</v>
      </c>
      <c r="H4" s="26"/>
    </row>
    <row r="5">
      <c r="A5" s="24">
        <v>3.0</v>
      </c>
      <c r="B5" s="25">
        <v>46141.0</v>
      </c>
      <c r="C5" s="16" t="s">
        <v>34</v>
      </c>
      <c r="D5" s="16" t="s">
        <v>50</v>
      </c>
      <c r="E5" s="16" t="s">
        <v>77</v>
      </c>
      <c r="F5" s="16" t="s">
        <v>81</v>
      </c>
      <c r="G5" s="16" t="s">
        <v>79</v>
      </c>
      <c r="H5" s="26"/>
    </row>
    <row r="6">
      <c r="A6" s="24">
        <v>4.0</v>
      </c>
      <c r="B6" s="27">
        <v>46148.0</v>
      </c>
      <c r="C6" s="16" t="s">
        <v>50</v>
      </c>
      <c r="D6" s="16" t="s">
        <v>34</v>
      </c>
      <c r="E6" s="16" t="s">
        <v>77</v>
      </c>
      <c r="F6" s="16" t="s">
        <v>82</v>
      </c>
      <c r="G6" s="16" t="s">
        <v>79</v>
      </c>
      <c r="H6" s="26"/>
    </row>
    <row r="7">
      <c r="A7" s="24">
        <v>5.0</v>
      </c>
      <c r="B7" s="25">
        <v>46155.0</v>
      </c>
      <c r="C7" s="16" t="s">
        <v>34</v>
      </c>
      <c r="D7" s="16" t="s">
        <v>50</v>
      </c>
      <c r="E7" s="16" t="s">
        <v>77</v>
      </c>
      <c r="F7" s="16" t="s">
        <v>83</v>
      </c>
      <c r="G7" s="16" t="s">
        <v>79</v>
      </c>
      <c r="H7" s="26"/>
    </row>
    <row r="8">
      <c r="A8" s="24">
        <v>6.0</v>
      </c>
      <c r="B8" s="27">
        <v>46162.0</v>
      </c>
      <c r="C8" s="16" t="s">
        <v>50</v>
      </c>
      <c r="D8" s="16" t="s">
        <v>34</v>
      </c>
      <c r="E8" s="16" t="s">
        <v>6</v>
      </c>
      <c r="F8" s="16" t="s">
        <v>82</v>
      </c>
      <c r="G8" s="16" t="s">
        <v>79</v>
      </c>
      <c r="H8" s="26"/>
    </row>
    <row r="9">
      <c r="A9" s="24">
        <v>7.0</v>
      </c>
      <c r="B9" s="25">
        <v>46169.0</v>
      </c>
      <c r="C9" s="16" t="s">
        <v>34</v>
      </c>
      <c r="D9" s="16" t="s">
        <v>50</v>
      </c>
      <c r="E9" s="18"/>
      <c r="F9" s="16" t="s">
        <v>84</v>
      </c>
      <c r="G9" s="16" t="s">
        <v>79</v>
      </c>
      <c r="H9" s="28" t="s">
        <v>85</v>
      </c>
    </row>
    <row r="10">
      <c r="A10" s="24">
        <v>8.0</v>
      </c>
      <c r="B10" s="27">
        <v>46176.0</v>
      </c>
      <c r="C10" s="16" t="s">
        <v>50</v>
      </c>
      <c r="D10" s="16" t="s">
        <v>34</v>
      </c>
      <c r="E10" s="18"/>
      <c r="F10" s="16" t="s">
        <v>86</v>
      </c>
      <c r="G10" s="16" t="s">
        <v>79</v>
      </c>
      <c r="H10" s="26"/>
    </row>
    <row r="11">
      <c r="A11" s="24">
        <v>9.0</v>
      </c>
      <c r="B11" s="25">
        <v>46183.0</v>
      </c>
      <c r="C11" s="16" t="s">
        <v>34</v>
      </c>
      <c r="D11" s="16" t="s">
        <v>50</v>
      </c>
      <c r="E11" s="18"/>
      <c r="F11" s="16" t="s">
        <v>83</v>
      </c>
      <c r="G11" s="16" t="s">
        <v>79</v>
      </c>
      <c r="H11" s="26"/>
    </row>
    <row r="12">
      <c r="A12" s="24">
        <v>10.0</v>
      </c>
      <c r="B12" s="27">
        <v>46190.0</v>
      </c>
      <c r="C12" s="16" t="s">
        <v>50</v>
      </c>
      <c r="D12" s="16" t="s">
        <v>34</v>
      </c>
      <c r="E12" s="18"/>
      <c r="F12" s="16" t="s">
        <v>86</v>
      </c>
      <c r="G12" s="16" t="s">
        <v>79</v>
      </c>
      <c r="H12" s="26"/>
    </row>
    <row r="13">
      <c r="A13" s="24">
        <v>11.0</v>
      </c>
      <c r="B13" s="25">
        <v>46197.0</v>
      </c>
      <c r="C13" s="16" t="s">
        <v>34</v>
      </c>
      <c r="D13" s="16" t="s">
        <v>50</v>
      </c>
      <c r="E13" s="18"/>
      <c r="F13" s="16" t="s">
        <v>81</v>
      </c>
      <c r="G13" s="16" t="s">
        <v>79</v>
      </c>
      <c r="H13" s="26"/>
    </row>
    <row r="14">
      <c r="A14" s="24">
        <v>12.0</v>
      </c>
      <c r="B14" s="27">
        <v>46204.0</v>
      </c>
      <c r="C14" s="16" t="s">
        <v>50</v>
      </c>
      <c r="D14" s="16" t="s">
        <v>34</v>
      </c>
      <c r="E14" s="18"/>
      <c r="F14" s="16" t="s">
        <v>80</v>
      </c>
      <c r="G14" s="16" t="s">
        <v>79</v>
      </c>
      <c r="H14" s="26"/>
    </row>
    <row r="15">
      <c r="A15" s="24">
        <v>13.0</v>
      </c>
      <c r="B15" s="25">
        <v>46211.0</v>
      </c>
      <c r="C15" s="16" t="s">
        <v>34</v>
      </c>
      <c r="D15" s="16" t="s">
        <v>50</v>
      </c>
      <c r="E15" s="18"/>
      <c r="F15" s="16" t="s">
        <v>84</v>
      </c>
      <c r="G15" s="16" t="s">
        <v>79</v>
      </c>
      <c r="H15" s="26"/>
    </row>
    <row r="16">
      <c r="A16" s="24">
        <v>14.0</v>
      </c>
      <c r="B16" s="27">
        <v>46218.0</v>
      </c>
      <c r="C16" s="16" t="s">
        <v>50</v>
      </c>
      <c r="D16" s="16" t="s">
        <v>34</v>
      </c>
      <c r="E16" s="18"/>
      <c r="F16" s="16" t="s">
        <v>87</v>
      </c>
      <c r="G16" s="16" t="s">
        <v>79</v>
      </c>
      <c r="H16" s="28" t="s">
        <v>88</v>
      </c>
    </row>
    <row r="17">
      <c r="A17" s="24">
        <v>15.0</v>
      </c>
      <c r="B17" s="25">
        <v>46225.0</v>
      </c>
      <c r="C17" s="16" t="s">
        <v>34</v>
      </c>
      <c r="D17" s="16" t="s">
        <v>50</v>
      </c>
      <c r="E17" s="18"/>
      <c r="F17" s="16" t="s">
        <v>87</v>
      </c>
      <c r="G17" s="16" t="s">
        <v>79</v>
      </c>
      <c r="H17" s="28" t="s">
        <v>89</v>
      </c>
    </row>
    <row r="18">
      <c r="A18" s="24"/>
      <c r="B18" s="29"/>
      <c r="C18" s="18"/>
      <c r="D18" s="18"/>
      <c r="E18" s="18"/>
      <c r="F18" s="18"/>
      <c r="G18" s="18"/>
      <c r="H18" s="30"/>
    </row>
    <row r="19">
      <c r="A19" s="28" t="s">
        <v>90</v>
      </c>
      <c r="B19" s="31"/>
      <c r="C19" s="32"/>
      <c r="D19" s="32"/>
      <c r="E19" s="32"/>
      <c r="F19" s="32"/>
      <c r="G19" s="32"/>
      <c r="H19" s="30"/>
    </row>
    <row r="20">
      <c r="A20" s="32"/>
      <c r="B20" s="29"/>
      <c r="C20" s="18"/>
      <c r="D20" s="18"/>
      <c r="E20" s="18"/>
      <c r="F20" s="18"/>
      <c r="G20" s="18"/>
      <c r="H20" s="30"/>
    </row>
    <row r="21">
      <c r="A21" s="24"/>
      <c r="B21" s="29"/>
      <c r="C21" s="18"/>
      <c r="D21" s="18"/>
      <c r="E21" s="16" t="s">
        <v>91</v>
      </c>
      <c r="F21" s="18"/>
      <c r="G21" s="18"/>
      <c r="H21" s="3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3" t="s">
        <v>92</v>
      </c>
      <c r="B1" s="34" t="s">
        <v>93</v>
      </c>
    </row>
    <row r="2">
      <c r="A2" s="35"/>
      <c r="B2" s="36" t="s">
        <v>94</v>
      </c>
    </row>
    <row r="3">
      <c r="A3" s="37" t="s">
        <v>95</v>
      </c>
      <c r="B3" s="38" t="s">
        <v>96</v>
      </c>
    </row>
    <row r="4">
      <c r="A4" s="35"/>
      <c r="B4" s="36" t="s">
        <v>97</v>
      </c>
    </row>
    <row r="5">
      <c r="A5" s="35"/>
      <c r="B5" s="36" t="s">
        <v>98</v>
      </c>
    </row>
    <row r="6">
      <c r="A6" s="37" t="s">
        <v>99</v>
      </c>
      <c r="B6" s="39" t="s">
        <v>100</v>
      </c>
    </row>
    <row r="7">
      <c r="A7" s="35"/>
      <c r="B7" s="36" t="s">
        <v>101</v>
      </c>
    </row>
    <row r="8">
      <c r="A8" s="35"/>
      <c r="B8" s="36" t="s">
        <v>102</v>
      </c>
    </row>
    <row r="9">
      <c r="A9" s="37" t="s">
        <v>103</v>
      </c>
      <c r="B9" s="40" t="s">
        <v>104</v>
      </c>
    </row>
    <row r="10">
      <c r="A10" s="35"/>
      <c r="B10" s="41" t="s">
        <v>105</v>
      </c>
    </row>
    <row r="11">
      <c r="A11" s="37" t="s">
        <v>106</v>
      </c>
      <c r="B11" s="38" t="s">
        <v>107</v>
      </c>
    </row>
    <row r="12">
      <c r="A12" s="35"/>
      <c r="B12" s="42" t="s">
        <v>108</v>
      </c>
    </row>
    <row r="13">
      <c r="A13" s="35"/>
      <c r="B13" s="36" t="s">
        <v>109</v>
      </c>
    </row>
    <row r="14">
      <c r="A14" s="37" t="s">
        <v>110</v>
      </c>
      <c r="B14" s="39" t="s">
        <v>111</v>
      </c>
    </row>
    <row r="15">
      <c r="A15" s="43"/>
      <c r="B15" s="41" t="s">
        <v>112</v>
      </c>
    </row>
    <row r="16">
      <c r="A16" s="37" t="s">
        <v>113</v>
      </c>
      <c r="B16" s="39" t="s">
        <v>114</v>
      </c>
    </row>
    <row r="17">
      <c r="A17" s="43"/>
      <c r="B17" s="42" t="s">
        <v>115</v>
      </c>
    </row>
    <row r="18">
      <c r="A18" s="44" t="s">
        <v>116</v>
      </c>
      <c r="B18" s="38" t="s">
        <v>117</v>
      </c>
    </row>
    <row r="19">
      <c r="A19" s="43"/>
      <c r="B19" s="45" t="s">
        <v>118</v>
      </c>
    </row>
    <row r="20">
      <c r="A20" s="44" t="s">
        <v>119</v>
      </c>
      <c r="B20" s="38" t="s">
        <v>120</v>
      </c>
    </row>
    <row r="21">
      <c r="A21" s="43"/>
      <c r="B21" s="43"/>
    </row>
    <row r="22">
      <c r="A22" s="37" t="s">
        <v>121</v>
      </c>
      <c r="B22" s="44"/>
    </row>
    <row r="24">
      <c r="A24" s="46" t="s">
        <v>75</v>
      </c>
      <c r="B24" s="17" t="s">
        <v>79</v>
      </c>
    </row>
    <row r="25">
      <c r="A25" s="46" t="s">
        <v>122</v>
      </c>
      <c r="B25" s="17" t="s">
        <v>123</v>
      </c>
    </row>
    <row r="26">
      <c r="A26" s="46" t="s">
        <v>122</v>
      </c>
      <c r="B26" s="17" t="s">
        <v>124</v>
      </c>
    </row>
    <row r="27">
      <c r="A27" s="46" t="s">
        <v>125</v>
      </c>
      <c r="B27" s="17" t="s">
        <v>82</v>
      </c>
    </row>
    <row r="28">
      <c r="A28" s="46" t="s">
        <v>125</v>
      </c>
      <c r="B28" s="17" t="s">
        <v>84</v>
      </c>
    </row>
    <row r="29">
      <c r="A29" s="46" t="s">
        <v>125</v>
      </c>
      <c r="B29" s="17" t="s">
        <v>81</v>
      </c>
    </row>
    <row r="30">
      <c r="A30" s="46" t="s">
        <v>125</v>
      </c>
      <c r="B30" s="17" t="s">
        <v>86</v>
      </c>
    </row>
    <row r="31">
      <c r="A31" s="46" t="s">
        <v>125</v>
      </c>
      <c r="B31" s="17" t="s">
        <v>83</v>
      </c>
    </row>
    <row r="32">
      <c r="A32" s="46" t="s">
        <v>125</v>
      </c>
      <c r="B32" s="17" t="s">
        <v>87</v>
      </c>
    </row>
    <row r="33">
      <c r="A33" s="17" t="s">
        <v>125</v>
      </c>
      <c r="B33" s="17" t="s">
        <v>80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 t="s">
        <v>126</v>
      </c>
      <c r="B1" s="4" t="s">
        <v>127</v>
      </c>
    </row>
    <row r="2">
      <c r="A2" s="3"/>
      <c r="B2" s="2"/>
    </row>
    <row r="3">
      <c r="A3" s="47" t="s">
        <v>128</v>
      </c>
      <c r="B3" s="48" t="s">
        <v>129</v>
      </c>
    </row>
    <row r="4">
      <c r="A4" s="47"/>
      <c r="B4" s="47"/>
    </row>
    <row r="5">
      <c r="B5" s="47"/>
    </row>
    <row r="6">
      <c r="A6" s="47"/>
      <c r="B6" s="47"/>
    </row>
    <row r="7">
      <c r="A7" s="47"/>
      <c r="B7" s="47"/>
    </row>
    <row r="8">
      <c r="A8" s="47"/>
      <c r="B8" s="47"/>
    </row>
    <row r="9">
      <c r="A9" s="47"/>
      <c r="B9" s="47"/>
    </row>
    <row r="10">
      <c r="A10" s="47"/>
      <c r="B10" s="47"/>
    </row>
    <row r="11">
      <c r="A11" s="47"/>
      <c r="B11" s="47"/>
    </row>
    <row r="12">
      <c r="A12" s="47"/>
      <c r="B12" s="47"/>
    </row>
    <row r="13">
      <c r="A13" s="47"/>
      <c r="B13" s="47"/>
    </row>
    <row r="14">
      <c r="A14" s="47"/>
      <c r="B14" s="47"/>
    </row>
    <row r="15">
      <c r="A15" s="47"/>
      <c r="B15" s="47"/>
    </row>
    <row r="16">
      <c r="A16" s="47"/>
      <c r="B16" s="47"/>
    </row>
    <row r="17">
      <c r="A17" s="47"/>
      <c r="B17" s="47"/>
    </row>
    <row r="18">
      <c r="A18" s="47"/>
      <c r="B18" s="47"/>
    </row>
    <row r="19">
      <c r="A19" s="47"/>
      <c r="B19" s="47"/>
    </row>
    <row r="20">
      <c r="A20" s="47"/>
      <c r="B20" s="4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67.25"/>
  </cols>
  <sheetData>
    <row r="1">
      <c r="A1" s="49" t="s">
        <v>130</v>
      </c>
      <c r="B1" s="49" t="s">
        <v>131</v>
      </c>
    </row>
    <row r="2">
      <c r="A2" s="50" t="s">
        <v>132</v>
      </c>
      <c r="B2" s="50" t="s">
        <v>133</v>
      </c>
    </row>
    <row r="3">
      <c r="A3" s="50" t="s">
        <v>134</v>
      </c>
      <c r="B3" s="50" t="s">
        <v>135</v>
      </c>
    </row>
    <row r="4">
      <c r="A4" s="50" t="s">
        <v>136</v>
      </c>
      <c r="B4" s="50" t="s">
        <v>137</v>
      </c>
    </row>
    <row r="5">
      <c r="A5" s="51" t="s">
        <v>138</v>
      </c>
      <c r="B5" s="51" t="s">
        <v>139</v>
      </c>
    </row>
    <row r="6">
      <c r="A6" s="51" t="s">
        <v>140</v>
      </c>
      <c r="B6" s="51" t="s">
        <v>141</v>
      </c>
    </row>
    <row r="7">
      <c r="A7" s="50" t="s">
        <v>142</v>
      </c>
      <c r="B7" s="50" t="s">
        <v>143</v>
      </c>
    </row>
    <row r="8">
      <c r="A8" s="50" t="s">
        <v>144</v>
      </c>
      <c r="B8" s="17" t="s">
        <v>145</v>
      </c>
    </row>
    <row r="9">
      <c r="A9" s="2"/>
      <c r="B9" s="17"/>
    </row>
    <row r="10">
      <c r="A10" s="17" t="s">
        <v>146</v>
      </c>
      <c r="B10" s="17" t="s">
        <v>147</v>
      </c>
    </row>
    <row r="11">
      <c r="A11" s="17" t="s">
        <v>148</v>
      </c>
      <c r="B11" s="17" t="s">
        <v>149</v>
      </c>
    </row>
    <row r="12">
      <c r="A12" s="2" t="s">
        <v>150</v>
      </c>
      <c r="B12" s="2" t="s">
        <v>151</v>
      </c>
    </row>
    <row r="13">
      <c r="A13" s="52" t="s">
        <v>152</v>
      </c>
      <c r="B13" s="52" t="s">
        <v>153</v>
      </c>
    </row>
    <row r="14">
      <c r="A14" s="52" t="s">
        <v>154</v>
      </c>
      <c r="B14" s="52" t="s">
        <v>155</v>
      </c>
    </row>
    <row r="15">
      <c r="A15" s="52" t="s">
        <v>156</v>
      </c>
      <c r="B15" s="52" t="s">
        <v>157</v>
      </c>
    </row>
    <row r="16">
      <c r="A16" s="52" t="s">
        <v>158</v>
      </c>
      <c r="B16" s="52" t="s">
        <v>159</v>
      </c>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161</v>
      </c>
    </row>
    <row r="2">
      <c r="A2" s="54">
        <v>1.0</v>
      </c>
      <c r="B2" s="2" t="s">
        <v>162</v>
      </c>
    </row>
    <row r="3">
      <c r="A3" s="54">
        <f t="shared" ref="A3:A16" si="1">A2+1</f>
        <v>2</v>
      </c>
      <c r="B3" s="2" t="s">
        <v>162</v>
      </c>
    </row>
    <row r="4">
      <c r="A4" s="54">
        <f t="shared" si="1"/>
        <v>3</v>
      </c>
      <c r="B4" s="2" t="s">
        <v>162</v>
      </c>
    </row>
    <row r="5">
      <c r="A5" s="54">
        <f t="shared" si="1"/>
        <v>4</v>
      </c>
      <c r="B5" s="17" t="s">
        <v>163</v>
      </c>
    </row>
    <row r="6">
      <c r="A6" s="54">
        <f t="shared" si="1"/>
        <v>5</v>
      </c>
      <c r="B6" s="2" t="s">
        <v>164</v>
      </c>
    </row>
    <row r="7">
      <c r="A7" s="54">
        <f t="shared" si="1"/>
        <v>6</v>
      </c>
      <c r="B7" s="2" t="s">
        <v>165</v>
      </c>
    </row>
    <row r="8">
      <c r="A8" s="54">
        <f t="shared" si="1"/>
        <v>7</v>
      </c>
      <c r="B8" s="2" t="str">
        <f>'Final Project Release plan'!B9</f>
        <v>Enhance database functionality and logging</v>
      </c>
    </row>
    <row r="9">
      <c r="A9" s="54">
        <f t="shared" si="1"/>
        <v>8</v>
      </c>
      <c r="B9" s="2" t="str">
        <f>'Final Project Release plan'!B10</f>
        <v>Integration Testing and Test Environment</v>
      </c>
    </row>
    <row r="10">
      <c r="A10" s="54">
        <f t="shared" si="1"/>
        <v>9</v>
      </c>
      <c r="B10" s="2" t="str">
        <f>'Final Project Release plan'!B11</f>
        <v>Save device and application Logs in Database</v>
      </c>
    </row>
    <row r="11">
      <c r="A11" s="54">
        <f t="shared" si="1"/>
        <v>10</v>
      </c>
      <c r="B11" s="2" t="str">
        <f>'Final Project Release plan'!B12</f>
        <v>Provide Logs and Streaming for Users</v>
      </c>
    </row>
    <row r="12">
      <c r="A12" s="54">
        <f t="shared" si="1"/>
        <v>11</v>
      </c>
      <c r="B12" s="2" t="str">
        <f>'Final Project Release plan'!B13</f>
        <v>First Demo preperations</v>
      </c>
    </row>
    <row r="13">
      <c r="A13" s="54">
        <f t="shared" si="1"/>
        <v>12</v>
      </c>
      <c r="B13" s="2" t="str">
        <f>'Final Project Release plan'!B14</f>
        <v>Finalize Project and Demo preperation</v>
      </c>
    </row>
    <row r="14">
      <c r="A14" s="54">
        <f t="shared" si="1"/>
        <v>13</v>
      </c>
      <c r="B14" s="2" t="str">
        <f>'Final Project Release plan'!B15</f>
        <v>Prepare Handover</v>
      </c>
    </row>
    <row r="15">
      <c r="A15" s="54">
        <f t="shared" si="1"/>
        <v>14</v>
      </c>
      <c r="B15" s="2" t="str">
        <f>'Final Project Release plan'!B16</f>
        <v/>
      </c>
    </row>
    <row r="16">
      <c r="A16" s="54">
        <f t="shared" si="1"/>
        <v>15</v>
      </c>
      <c r="B16" s="2" t="str">
        <f>'Final Project Release plan'!B17</f>
        <v/>
      </c>
    </row>
    <row r="17">
      <c r="A17" s="54"/>
      <c r="B17" s="3"/>
    </row>
    <row r="18">
      <c r="A18" s="54"/>
      <c r="B18" s="3"/>
    </row>
    <row r="19">
      <c r="A19" s="55"/>
      <c r="B19" s="3"/>
    </row>
    <row r="20">
      <c r="A20" s="55"/>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166</v>
      </c>
    </row>
    <row r="2">
      <c r="A2" s="54">
        <v>1.0</v>
      </c>
      <c r="B2" s="2">
        <f>'Mid-Project Release plan'!F9</f>
        <v>0</v>
      </c>
    </row>
    <row r="3">
      <c r="A3" s="54">
        <f t="shared" ref="A3:A14" si="1">A2+1</f>
        <v>2</v>
      </c>
      <c r="B3" s="2">
        <f>'Mid-Project Release plan'!F10</f>
        <v>12</v>
      </c>
    </row>
    <row r="4">
      <c r="A4" s="54">
        <f t="shared" si="1"/>
        <v>3</v>
      </c>
      <c r="B4" s="2">
        <f>'Mid-Project Release plan'!F11</f>
        <v>19</v>
      </c>
    </row>
    <row r="5">
      <c r="A5" s="54">
        <f t="shared" si="1"/>
        <v>4</v>
      </c>
      <c r="B5" s="2">
        <f>'Mid-Project Release plan'!F12</f>
        <v>15</v>
      </c>
    </row>
    <row r="6">
      <c r="A6" s="54">
        <f t="shared" si="1"/>
        <v>5</v>
      </c>
      <c r="B6" s="2">
        <f>'Mid-Project Release plan'!F13</f>
        <v>25</v>
      </c>
    </row>
    <row r="7">
      <c r="A7" s="54">
        <f t="shared" si="1"/>
        <v>6</v>
      </c>
      <c r="B7" s="2">
        <f>'Mid-Project Release plan'!F14</f>
        <v>21</v>
      </c>
    </row>
    <row r="8">
      <c r="A8" s="54">
        <f t="shared" si="1"/>
        <v>7</v>
      </c>
      <c r="B8" s="2">
        <f>'Final Project Release plan'!F9</f>
        <v>11</v>
      </c>
    </row>
    <row r="9">
      <c r="A9" s="54">
        <f t="shared" si="1"/>
        <v>8</v>
      </c>
      <c r="B9" s="2">
        <f>'Final Project Release plan'!F10</f>
        <v>19</v>
      </c>
    </row>
    <row r="10">
      <c r="A10" s="54">
        <f t="shared" si="1"/>
        <v>9</v>
      </c>
      <c r="B10" s="2">
        <f>'Final Project Release plan'!F11</f>
        <v>24</v>
      </c>
    </row>
    <row r="11">
      <c r="A11" s="54">
        <f t="shared" si="1"/>
        <v>10</v>
      </c>
      <c r="B11" s="2">
        <f>'Final Project Release plan'!F12</f>
        <v>0</v>
      </c>
    </row>
    <row r="12">
      <c r="A12" s="54">
        <f t="shared" si="1"/>
        <v>11</v>
      </c>
      <c r="B12" s="2">
        <f>'Final Project Release plan'!F13</f>
        <v>0</v>
      </c>
    </row>
    <row r="13">
      <c r="A13" s="54">
        <f t="shared" si="1"/>
        <v>12</v>
      </c>
      <c r="B13" s="2">
        <f>'Final Project Release plan'!F14</f>
        <v>0</v>
      </c>
    </row>
    <row r="14">
      <c r="A14" s="54">
        <f t="shared" si="1"/>
        <v>13</v>
      </c>
      <c r="B14" s="2">
        <f>'Final Project Release plan'!F15</f>
        <v>0</v>
      </c>
    </row>
    <row r="15">
      <c r="A15" s="54"/>
      <c r="B15" s="2"/>
    </row>
    <row r="16">
      <c r="A16" s="54"/>
      <c r="B16" s="3"/>
    </row>
    <row r="17">
      <c r="A17" s="54"/>
      <c r="B17" s="3"/>
    </row>
    <row r="18">
      <c r="A18" s="54"/>
      <c r="B18" s="56" t="s">
        <v>167</v>
      </c>
    </row>
    <row r="19">
      <c r="A19" s="55"/>
      <c r="B19" s="3"/>
    </row>
    <row r="20">
      <c r="A20" s="55"/>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c r="B1" s="4"/>
    </row>
    <row r="2">
      <c r="A2" s="54"/>
      <c r="B2" s="2"/>
    </row>
    <row r="3">
      <c r="A3" s="54"/>
      <c r="B3" s="2"/>
    </row>
    <row r="4">
      <c r="A4" s="54"/>
      <c r="B4" s="2"/>
    </row>
    <row r="5">
      <c r="A5" s="54"/>
      <c r="B5" s="2"/>
    </row>
    <row r="6">
      <c r="A6" s="54"/>
      <c r="B6" s="2"/>
    </row>
    <row r="7">
      <c r="A7" s="54"/>
      <c r="B7" s="2"/>
    </row>
    <row r="8">
      <c r="A8" s="54"/>
      <c r="B8" s="3"/>
    </row>
    <row r="9">
      <c r="A9" s="54"/>
      <c r="B9" s="3"/>
    </row>
    <row r="10">
      <c r="A10" s="54"/>
      <c r="B10" s="3"/>
    </row>
    <row r="11">
      <c r="A11" s="54"/>
      <c r="B11" s="3"/>
    </row>
    <row r="12">
      <c r="A12" s="54"/>
      <c r="B12" s="3"/>
    </row>
    <row r="13">
      <c r="A13" s="54"/>
      <c r="B13" s="3"/>
    </row>
    <row r="14">
      <c r="A14" s="54"/>
      <c r="B14" s="3"/>
    </row>
    <row r="15">
      <c r="A15" s="54"/>
      <c r="B15" s="3"/>
    </row>
    <row r="16">
      <c r="A16" s="54"/>
      <c r="B16" s="3"/>
    </row>
    <row r="17">
      <c r="A17" s="54"/>
      <c r="B17" s="3"/>
    </row>
    <row r="18">
      <c r="A18" s="54"/>
      <c r="B18" s="56"/>
    </row>
    <row r="19">
      <c r="A19" s="55"/>
      <c r="B19" s="3"/>
    </row>
    <row r="20">
      <c r="A20" s="55"/>
      <c r="B20" s="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7" t="s">
        <v>168</v>
      </c>
      <c r="B1" s="58" t="s">
        <v>169</v>
      </c>
      <c r="C1" s="59" t="s">
        <v>170</v>
      </c>
      <c r="D1" s="60" t="s">
        <v>171</v>
      </c>
      <c r="E1" s="60" t="s">
        <v>172</v>
      </c>
      <c r="F1" s="60" t="s">
        <v>173</v>
      </c>
      <c r="G1" s="60" t="s">
        <v>174</v>
      </c>
    </row>
    <row r="2">
      <c r="A2" s="61"/>
      <c r="B2" s="62"/>
      <c r="C2" s="63"/>
      <c r="D2" s="63"/>
      <c r="E2" s="63"/>
      <c r="F2" s="63"/>
      <c r="G2" s="63"/>
    </row>
    <row r="3">
      <c r="A3" s="64" t="s">
        <v>175</v>
      </c>
      <c r="B3" s="65"/>
      <c r="C3" s="66"/>
      <c r="D3" s="66"/>
      <c r="E3" s="66"/>
      <c r="F3" s="66"/>
      <c r="G3" s="66"/>
    </row>
    <row r="4">
      <c r="A4" s="61"/>
      <c r="B4" s="62"/>
      <c r="C4" s="63"/>
      <c r="D4" s="63"/>
      <c r="E4" s="63"/>
      <c r="F4" s="63"/>
      <c r="G4" s="63"/>
    </row>
    <row r="5">
      <c r="A5" s="67" t="s">
        <v>176</v>
      </c>
      <c r="B5" s="68"/>
      <c r="C5" s="43"/>
      <c r="D5" s="69">
        <f>sum(D8:D15)</f>
        <v>86</v>
      </c>
      <c r="E5" s="69">
        <f>D5</f>
        <v>86</v>
      </c>
      <c r="F5" s="69">
        <f>sum(F8:F15)</f>
        <v>92</v>
      </c>
      <c r="G5" s="43"/>
    </row>
    <row r="6">
      <c r="A6" s="61"/>
      <c r="B6" s="62"/>
      <c r="C6" s="63"/>
      <c r="D6" s="63"/>
      <c r="E6" s="63"/>
      <c r="F6" s="63"/>
      <c r="G6" s="63"/>
    </row>
    <row r="7">
      <c r="A7" s="70" t="s">
        <v>177</v>
      </c>
      <c r="B7" s="71"/>
      <c r="C7" s="72"/>
      <c r="D7" s="72"/>
      <c r="E7" s="72"/>
      <c r="F7" s="72"/>
      <c r="G7" s="72"/>
    </row>
    <row r="8">
      <c r="A8" s="61"/>
      <c r="B8" s="62"/>
      <c r="C8" s="63"/>
      <c r="D8" s="63"/>
      <c r="E8" s="73" t="s">
        <v>178</v>
      </c>
      <c r="F8" s="63"/>
      <c r="G8" s="73" t="s">
        <v>179</v>
      </c>
    </row>
    <row r="9">
      <c r="A9" s="74">
        <v>1.0</v>
      </c>
      <c r="B9" s="75" t="str">
        <f>'Sprint Goals'!B2</f>
        <v>None</v>
      </c>
      <c r="C9" s="76"/>
      <c r="D9" s="77">
        <f>SUM(D18)</f>
        <v>0</v>
      </c>
      <c r="E9" s="77">
        <f>$D$5</f>
        <v>86</v>
      </c>
      <c r="F9" s="77">
        <f>SUM(F18)</f>
        <v>0</v>
      </c>
      <c r="G9" s="77">
        <f>$F$5</f>
        <v>92</v>
      </c>
    </row>
    <row r="10">
      <c r="A10" s="61">
        <f t="shared" ref="A10:A11" si="1">A9+1</f>
        <v>2</v>
      </c>
      <c r="B10" s="75" t="str">
        <f>'Sprint Goals'!B3</f>
        <v>None</v>
      </c>
      <c r="C10" s="63"/>
      <c r="D10" s="78">
        <f>SUM(D24:D29)</f>
        <v>12</v>
      </c>
      <c r="E10" s="78">
        <f t="shared" ref="E10:E14" si="2">E9-D10</f>
        <v>74</v>
      </c>
      <c r="F10" s="78">
        <f>SUM(F24:F29)</f>
        <v>12</v>
      </c>
      <c r="G10" s="78">
        <f t="shared" ref="G10:G14" si="3">G9-F10</f>
        <v>80</v>
      </c>
    </row>
    <row r="11">
      <c r="A11" s="74">
        <f t="shared" si="1"/>
        <v>3</v>
      </c>
      <c r="B11" s="75" t="str">
        <f>'Sprint Goals'!B4</f>
        <v>None</v>
      </c>
      <c r="C11" s="76"/>
      <c r="D11" s="77">
        <f>SUM(D31:D35)</f>
        <v>16</v>
      </c>
      <c r="E11" s="78">
        <f t="shared" si="2"/>
        <v>58</v>
      </c>
      <c r="F11" s="77">
        <f>SUM(F31:F35)</f>
        <v>19</v>
      </c>
      <c r="G11" s="78">
        <f t="shared" si="3"/>
        <v>61</v>
      </c>
    </row>
    <row r="12">
      <c r="A12" s="79">
        <v>4.0</v>
      </c>
      <c r="B12" s="75" t="str">
        <f>'Sprint Goals'!B5</f>
        <v>Optional</v>
      </c>
      <c r="C12" s="63"/>
      <c r="D12" s="77">
        <f>SUM(D37:D41)</f>
        <v>20</v>
      </c>
      <c r="E12" s="78">
        <f t="shared" si="2"/>
        <v>38</v>
      </c>
      <c r="F12" s="77">
        <f>SUM(F37:F41)</f>
        <v>15</v>
      </c>
      <c r="G12" s="78">
        <f t="shared" si="3"/>
        <v>46</v>
      </c>
    </row>
    <row r="13">
      <c r="A13" s="80">
        <v>5.0</v>
      </c>
      <c r="B13" s="75" t="str">
        <f>'Sprint Goals'!B6</f>
        <v>Enable OS update swapping </v>
      </c>
      <c r="C13" s="76"/>
      <c r="D13" s="77">
        <f>SUM(D43:D49)</f>
        <v>21</v>
      </c>
      <c r="E13" s="78">
        <f t="shared" si="2"/>
        <v>17</v>
      </c>
      <c r="F13" s="77">
        <f>SUM(F43:F49)</f>
        <v>25</v>
      </c>
      <c r="G13" s="78">
        <f t="shared" si="3"/>
        <v>21</v>
      </c>
    </row>
    <row r="14">
      <c r="A14" s="80">
        <v>6.0</v>
      </c>
      <c r="B14" s="75" t="str">
        <f>'Sprint Goals'!B7</f>
        <v>Database interaction with the user and Edge IPC is enabled</v>
      </c>
      <c r="C14" s="76"/>
      <c r="D14" s="77">
        <f>SUM(D51:D55)</f>
        <v>17</v>
      </c>
      <c r="E14" s="78">
        <f t="shared" si="2"/>
        <v>0</v>
      </c>
      <c r="F14" s="76">
        <f>SUM(F51:F55)</f>
        <v>21</v>
      </c>
      <c r="G14" s="78">
        <f t="shared" si="3"/>
        <v>0</v>
      </c>
    </row>
    <row r="15">
      <c r="A15" s="74"/>
      <c r="B15" s="75"/>
      <c r="C15" s="76"/>
      <c r="D15" s="76"/>
      <c r="E15" s="76"/>
      <c r="F15" s="76"/>
      <c r="G15" s="76"/>
    </row>
    <row r="16">
      <c r="A16" s="81" t="s">
        <v>180</v>
      </c>
      <c r="B16" s="82"/>
      <c r="C16" s="83"/>
      <c r="D16" s="83"/>
      <c r="E16" s="83"/>
      <c r="F16" s="83"/>
      <c r="G16" s="83"/>
    </row>
    <row r="17">
      <c r="A17" s="74"/>
      <c r="B17" s="75"/>
      <c r="C17" s="76"/>
      <c r="D17" s="76"/>
      <c r="E17" s="76"/>
      <c r="F17" s="76"/>
      <c r="G17" s="76"/>
    </row>
    <row r="18">
      <c r="A18" s="84">
        <f t="shared" ref="A18:B18" si="4">A9</f>
        <v>1</v>
      </c>
      <c r="B18" s="85" t="str">
        <f t="shared" si="4"/>
        <v>None</v>
      </c>
      <c r="C18" s="3"/>
      <c r="D18" s="2"/>
      <c r="E18" s="3"/>
      <c r="F18" s="3"/>
      <c r="G18" s="63"/>
    </row>
    <row r="19">
      <c r="A19" s="74"/>
      <c r="B19" s="86"/>
      <c r="C19" s="3"/>
      <c r="D19" s="3"/>
      <c r="E19" s="3"/>
      <c r="F19" s="3"/>
      <c r="G19" s="76"/>
    </row>
    <row r="20">
      <c r="A20" s="61"/>
      <c r="B20" s="62"/>
      <c r="C20" s="3"/>
      <c r="D20" s="3"/>
      <c r="E20" s="3"/>
      <c r="F20" s="3"/>
      <c r="G20" s="62"/>
    </row>
    <row r="21">
      <c r="A21" s="74"/>
      <c r="B21" s="86"/>
      <c r="C21" s="3"/>
      <c r="D21" s="3"/>
      <c r="E21" s="3"/>
      <c r="F21" s="3"/>
      <c r="G21" s="76"/>
    </row>
    <row r="22">
      <c r="A22" s="87"/>
      <c r="B22" s="88"/>
      <c r="C22" s="3"/>
      <c r="D22" s="3"/>
      <c r="E22" s="3"/>
      <c r="F22" s="3"/>
      <c r="G22" s="88"/>
    </row>
    <row r="23">
      <c r="A23" s="74"/>
      <c r="B23" s="86"/>
      <c r="C23" s="3"/>
      <c r="D23" s="3"/>
      <c r="E23" s="3"/>
      <c r="F23" s="3"/>
      <c r="G23" s="76"/>
    </row>
    <row r="24">
      <c r="A24" s="84">
        <f t="shared" ref="A24:B24" si="5">A10</f>
        <v>2</v>
      </c>
      <c r="B24" s="85" t="str">
        <f t="shared" si="5"/>
        <v>None</v>
      </c>
      <c r="C24" s="89" t="s">
        <v>181</v>
      </c>
      <c r="D24" s="89">
        <v>3.0</v>
      </c>
      <c r="E24" s="63"/>
      <c r="F24" s="89">
        <v>3.0</v>
      </c>
      <c r="G24" s="63"/>
    </row>
    <row r="25">
      <c r="A25" s="74"/>
      <c r="B25" s="86"/>
      <c r="C25" s="90" t="s">
        <v>182</v>
      </c>
      <c r="D25" s="90">
        <v>2.0</v>
      </c>
      <c r="E25" s="76"/>
      <c r="F25" s="90">
        <v>2.0</v>
      </c>
      <c r="G25" s="76"/>
    </row>
    <row r="26">
      <c r="A26" s="87"/>
      <c r="B26" s="88"/>
      <c r="C26" s="91" t="s">
        <v>183</v>
      </c>
      <c r="D26" s="92">
        <v>2.0</v>
      </c>
      <c r="E26" s="62"/>
      <c r="F26" s="92">
        <v>2.0</v>
      </c>
      <c r="G26" s="88"/>
    </row>
    <row r="27">
      <c r="A27" s="74"/>
      <c r="B27" s="86"/>
      <c r="C27" s="90" t="s">
        <v>184</v>
      </c>
      <c r="D27" s="93">
        <v>2.0</v>
      </c>
      <c r="E27" s="76"/>
      <c r="F27" s="93">
        <v>2.0</v>
      </c>
      <c r="G27" s="76"/>
    </row>
    <row r="28">
      <c r="A28" s="87"/>
      <c r="B28" s="88"/>
      <c r="C28" s="91" t="s">
        <v>185</v>
      </c>
      <c r="D28" s="92">
        <v>1.0</v>
      </c>
      <c r="E28" s="88"/>
      <c r="F28" s="92">
        <v>1.0</v>
      </c>
      <c r="G28" s="88"/>
    </row>
    <row r="29">
      <c r="A29" s="74"/>
      <c r="B29" s="86"/>
      <c r="C29" s="90" t="s">
        <v>186</v>
      </c>
      <c r="D29" s="93">
        <v>2.0</v>
      </c>
      <c r="E29" s="76"/>
      <c r="F29" s="93">
        <v>2.0</v>
      </c>
      <c r="G29" s="76"/>
    </row>
    <row r="30">
      <c r="A30" s="84"/>
      <c r="B30" s="85"/>
      <c r="C30" s="91"/>
      <c r="D30" s="89"/>
      <c r="E30" s="63"/>
      <c r="F30" s="89"/>
      <c r="G30" s="63"/>
    </row>
    <row r="31">
      <c r="A31" s="84">
        <f t="shared" ref="A31:B31" si="6">A11</f>
        <v>3</v>
      </c>
      <c r="B31" s="85" t="str">
        <f t="shared" si="6"/>
        <v>None</v>
      </c>
      <c r="C31" s="91" t="s">
        <v>187</v>
      </c>
      <c r="D31" s="89">
        <v>3.0</v>
      </c>
      <c r="E31" s="63"/>
      <c r="F31" s="89">
        <v>3.0</v>
      </c>
      <c r="G31" s="63"/>
    </row>
    <row r="32">
      <c r="A32" s="74"/>
      <c r="B32" s="86"/>
      <c r="C32" s="90" t="s">
        <v>188</v>
      </c>
      <c r="D32" s="90">
        <v>3.0</v>
      </c>
      <c r="E32" s="76"/>
      <c r="F32" s="90">
        <v>5.0</v>
      </c>
      <c r="G32" s="76"/>
    </row>
    <row r="33">
      <c r="A33" s="87"/>
      <c r="B33" s="88"/>
      <c r="C33" s="91" t="s">
        <v>189</v>
      </c>
      <c r="D33" s="92">
        <v>3.0</v>
      </c>
      <c r="E33" s="88"/>
      <c r="F33" s="92">
        <v>5.0</v>
      </c>
      <c r="G33" s="88"/>
    </row>
    <row r="34">
      <c r="A34" s="74"/>
      <c r="B34" s="86"/>
      <c r="C34" s="90" t="s">
        <v>190</v>
      </c>
      <c r="D34" s="93">
        <v>5.0</v>
      </c>
      <c r="E34" s="76"/>
      <c r="F34" s="93">
        <v>5.0</v>
      </c>
      <c r="G34" s="76"/>
    </row>
    <row r="35">
      <c r="A35" s="87"/>
      <c r="B35" s="88"/>
      <c r="C35" s="91" t="s">
        <v>191</v>
      </c>
      <c r="D35" s="92">
        <v>2.0</v>
      </c>
      <c r="E35" s="88"/>
      <c r="F35" s="92">
        <v>1.0</v>
      </c>
      <c r="G35" s="88"/>
    </row>
    <row r="36">
      <c r="A36" s="87"/>
      <c r="B36" s="88"/>
      <c r="C36" s="76"/>
      <c r="D36" s="77"/>
      <c r="E36" s="76"/>
      <c r="F36" s="77"/>
      <c r="G36" s="88"/>
    </row>
    <row r="37">
      <c r="A37" s="94">
        <v>4.0</v>
      </c>
      <c r="B37" s="95" t="str">
        <f>B12</f>
        <v>Optional</v>
      </c>
      <c r="C37" s="89" t="s">
        <v>192</v>
      </c>
      <c r="D37" s="89">
        <v>2.0</v>
      </c>
      <c r="E37" s="63"/>
      <c r="F37" s="89">
        <v>2.0</v>
      </c>
      <c r="G37" s="76"/>
    </row>
    <row r="38">
      <c r="A38" s="87"/>
      <c r="B38" s="88"/>
      <c r="C38" s="90" t="s">
        <v>193</v>
      </c>
      <c r="D38" s="90">
        <v>2.0</v>
      </c>
      <c r="E38" s="76"/>
      <c r="F38" s="96">
        <v>2.0</v>
      </c>
      <c r="G38" s="63"/>
    </row>
    <row r="39">
      <c r="A39" s="87"/>
      <c r="B39" s="88"/>
      <c r="C39" s="91" t="s">
        <v>194</v>
      </c>
      <c r="D39" s="92">
        <v>5.0</v>
      </c>
      <c r="E39" s="88"/>
      <c r="F39" s="91">
        <v>3.0</v>
      </c>
      <c r="G39" s="63"/>
    </row>
    <row r="40">
      <c r="A40" s="87"/>
      <c r="B40" s="88"/>
      <c r="C40" s="90" t="s">
        <v>195</v>
      </c>
      <c r="D40" s="93">
        <v>8.0</v>
      </c>
      <c r="E40" s="76"/>
      <c r="F40" s="90">
        <v>5.0</v>
      </c>
      <c r="G40" s="63"/>
    </row>
    <row r="41">
      <c r="A41" s="87"/>
      <c r="B41" s="88"/>
      <c r="C41" s="89" t="s">
        <v>196</v>
      </c>
      <c r="D41" s="92">
        <v>3.0</v>
      </c>
      <c r="E41" s="88"/>
      <c r="F41" s="91">
        <v>3.0</v>
      </c>
      <c r="G41" s="63"/>
    </row>
    <row r="42">
      <c r="A42" s="87"/>
      <c r="B42" s="88"/>
      <c r="C42" s="63"/>
      <c r="D42" s="63"/>
      <c r="E42" s="63"/>
      <c r="F42" s="63"/>
      <c r="G42" s="63"/>
    </row>
    <row r="43">
      <c r="A43" s="97">
        <v>5.0</v>
      </c>
      <c r="B43" s="85" t="str">
        <f>B13</f>
        <v>Enable OS update swapping </v>
      </c>
      <c r="C43" s="89" t="s">
        <v>197</v>
      </c>
      <c r="D43" s="89">
        <v>2.0</v>
      </c>
      <c r="E43" s="63"/>
      <c r="F43" s="98">
        <v>2.0</v>
      </c>
      <c r="G43" s="63"/>
    </row>
    <row r="44">
      <c r="A44" s="87"/>
      <c r="B44" s="88"/>
      <c r="C44" s="89" t="s">
        <v>198</v>
      </c>
      <c r="D44" s="89">
        <v>3.0</v>
      </c>
      <c r="E44" s="63"/>
      <c r="F44" s="98">
        <v>5.0</v>
      </c>
      <c r="G44" s="63"/>
    </row>
    <row r="45">
      <c r="A45" s="87"/>
      <c r="B45" s="88"/>
      <c r="C45" s="89" t="s">
        <v>199</v>
      </c>
      <c r="D45" s="89">
        <v>3.0</v>
      </c>
      <c r="E45" s="63"/>
      <c r="F45" s="98">
        <v>5.0</v>
      </c>
      <c r="G45" s="63"/>
    </row>
    <row r="46">
      <c r="A46" s="87"/>
      <c r="B46" s="88"/>
      <c r="C46" s="89" t="s">
        <v>200</v>
      </c>
      <c r="D46" s="89">
        <v>3.0</v>
      </c>
      <c r="E46" s="63"/>
      <c r="F46" s="98">
        <v>3.0</v>
      </c>
      <c r="G46" s="63"/>
    </row>
    <row r="47">
      <c r="A47" s="87"/>
      <c r="B47" s="88"/>
      <c r="C47" s="90" t="s">
        <v>193</v>
      </c>
      <c r="D47" s="89">
        <v>2.0</v>
      </c>
      <c r="E47" s="63"/>
      <c r="F47" s="98">
        <v>2.0</v>
      </c>
      <c r="G47" s="63"/>
    </row>
    <row r="48">
      <c r="A48" s="87"/>
      <c r="B48" s="88"/>
      <c r="C48" s="89" t="s">
        <v>201</v>
      </c>
      <c r="D48" s="89">
        <v>3.0</v>
      </c>
      <c r="E48" s="63"/>
      <c r="F48" s="98">
        <v>3.0</v>
      </c>
      <c r="G48" s="63"/>
    </row>
    <row r="49">
      <c r="A49" s="87"/>
      <c r="B49" s="88"/>
      <c r="C49" s="89" t="s">
        <v>202</v>
      </c>
      <c r="D49" s="89">
        <v>5.0</v>
      </c>
      <c r="E49" s="63"/>
      <c r="F49" s="98">
        <v>5.0</v>
      </c>
      <c r="G49" s="63"/>
    </row>
    <row r="50">
      <c r="A50" s="87"/>
      <c r="B50" s="88"/>
      <c r="C50" s="63"/>
      <c r="D50" s="63"/>
      <c r="E50" s="63"/>
      <c r="F50" s="63"/>
      <c r="G50" s="63"/>
    </row>
    <row r="51">
      <c r="A51" s="97">
        <v>6.0</v>
      </c>
      <c r="B51" s="85" t="str">
        <f>B14</f>
        <v>Database interaction with the user and Edge IPC is enabled</v>
      </c>
      <c r="C51" s="89" t="s">
        <v>203</v>
      </c>
      <c r="D51" s="89">
        <v>3.0</v>
      </c>
      <c r="E51" s="63"/>
      <c r="F51" s="98">
        <v>3.0</v>
      </c>
      <c r="G51" s="63"/>
    </row>
    <row r="52">
      <c r="A52" s="87"/>
      <c r="C52" s="89" t="s">
        <v>204</v>
      </c>
      <c r="D52" s="89">
        <v>3.0</v>
      </c>
      <c r="E52" s="63"/>
      <c r="F52" s="98">
        <v>5.0</v>
      </c>
      <c r="G52" s="63"/>
    </row>
    <row r="53">
      <c r="A53" s="87"/>
      <c r="B53" s="85" t="str">
        <f t="shared" ref="B53:B55" si="7">B15</f>
        <v/>
      </c>
      <c r="C53" s="89" t="s">
        <v>205</v>
      </c>
      <c r="D53" s="89">
        <v>3.0</v>
      </c>
      <c r="E53" s="63"/>
      <c r="F53" s="98">
        <v>3.0</v>
      </c>
      <c r="G53" s="63"/>
    </row>
    <row r="54">
      <c r="A54" s="87"/>
      <c r="B54" s="85" t="str">
        <f t="shared" si="7"/>
        <v/>
      </c>
      <c r="C54" s="89" t="s">
        <v>206</v>
      </c>
      <c r="D54" s="89">
        <v>3.0</v>
      </c>
      <c r="E54" s="63"/>
      <c r="F54" s="98">
        <v>5.0</v>
      </c>
      <c r="G54" s="63"/>
    </row>
    <row r="55">
      <c r="A55" s="87"/>
      <c r="B55" s="85" t="str">
        <f t="shared" si="7"/>
        <v/>
      </c>
      <c r="C55" s="89" t="s">
        <v>207</v>
      </c>
      <c r="D55" s="89">
        <v>5.0</v>
      </c>
      <c r="E55" s="63"/>
      <c r="F55" s="98">
        <v>5.0</v>
      </c>
      <c r="G55" s="63"/>
    </row>
    <row r="56">
      <c r="A56" s="87"/>
      <c r="B56" s="85"/>
      <c r="C56" s="98" t="s">
        <v>208</v>
      </c>
      <c r="D56" s="98">
        <v>1.0</v>
      </c>
      <c r="E56" s="63"/>
      <c r="F56" s="98">
        <v>1.0</v>
      </c>
      <c r="G56" s="63"/>
    </row>
    <row r="57">
      <c r="A57" s="87"/>
      <c r="B57" s="88"/>
      <c r="C57" s="63"/>
      <c r="D57" s="63"/>
      <c r="E57" s="63"/>
      <c r="F57" s="63"/>
      <c r="G57" s="63"/>
    </row>
    <row r="58">
      <c r="A58" s="87"/>
      <c r="B58" s="88"/>
      <c r="C58" s="63"/>
      <c r="D58" s="63"/>
      <c r="E58" s="63"/>
      <c r="F58" s="63"/>
      <c r="G58" s="63"/>
    </row>
    <row r="59">
      <c r="A59" s="87"/>
      <c r="B59" s="88"/>
      <c r="C59" s="99" t="s">
        <v>209</v>
      </c>
      <c r="D59" s="63"/>
      <c r="E59" s="63"/>
      <c r="F59" s="63"/>
      <c r="G59" s="6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100"/>
      <c r="B1" s="101"/>
      <c r="C1" s="102"/>
      <c r="D1" s="103"/>
      <c r="E1" s="103"/>
      <c r="F1" s="103"/>
      <c r="G1" s="103"/>
    </row>
    <row r="2">
      <c r="A2" s="104"/>
      <c r="B2" s="105"/>
      <c r="C2" s="106"/>
      <c r="D2" s="106"/>
      <c r="E2" s="106"/>
      <c r="F2" s="106"/>
      <c r="G2" s="106"/>
    </row>
    <row r="3">
      <c r="A3" s="64"/>
      <c r="B3" s="65"/>
      <c r="C3" s="66"/>
      <c r="D3" s="66"/>
      <c r="E3" s="66"/>
      <c r="F3" s="66"/>
      <c r="G3" s="66"/>
    </row>
    <row r="4">
      <c r="A4" s="104"/>
      <c r="B4" s="105"/>
      <c r="C4" s="106"/>
      <c r="D4" s="106"/>
      <c r="E4" s="106"/>
      <c r="F4" s="106"/>
      <c r="G4" s="106"/>
    </row>
    <row r="5">
      <c r="A5" s="67"/>
      <c r="B5" s="68"/>
      <c r="C5" s="43"/>
      <c r="D5" s="69"/>
      <c r="E5" s="69"/>
      <c r="F5" s="43"/>
      <c r="G5" s="43"/>
    </row>
    <row r="6">
      <c r="A6" s="104"/>
      <c r="B6" s="105"/>
      <c r="C6" s="106"/>
      <c r="D6" s="106"/>
      <c r="E6" s="106"/>
      <c r="F6" s="106"/>
      <c r="G6" s="106"/>
    </row>
    <row r="7">
      <c r="A7" s="70"/>
      <c r="B7" s="71"/>
      <c r="C7" s="72"/>
      <c r="D7" s="72"/>
      <c r="E7" s="72"/>
      <c r="F7" s="72"/>
      <c r="G7" s="72"/>
    </row>
    <row r="8">
      <c r="A8" s="104"/>
      <c r="B8" s="105"/>
      <c r="C8" s="106"/>
      <c r="D8" s="106"/>
      <c r="E8" s="107"/>
      <c r="F8" s="106"/>
      <c r="G8" s="107"/>
    </row>
    <row r="9">
      <c r="A9" s="108"/>
      <c r="B9" s="67"/>
      <c r="C9" s="43"/>
      <c r="D9" s="69"/>
      <c r="E9" s="69"/>
      <c r="F9" s="69"/>
      <c r="G9" s="69"/>
    </row>
    <row r="10">
      <c r="A10" s="104"/>
      <c r="B10" s="67"/>
      <c r="C10" s="106"/>
      <c r="D10" s="109"/>
      <c r="E10" s="109"/>
      <c r="F10" s="109"/>
      <c r="G10" s="109"/>
    </row>
    <row r="11">
      <c r="A11" s="108"/>
      <c r="B11" s="67"/>
      <c r="C11" s="43"/>
      <c r="D11" s="69"/>
      <c r="E11" s="109"/>
      <c r="F11" s="69"/>
      <c r="G11" s="109"/>
    </row>
    <row r="12">
      <c r="A12" s="110"/>
      <c r="B12" s="67"/>
      <c r="C12" s="106"/>
      <c r="D12" s="69"/>
      <c r="E12" s="109"/>
      <c r="F12" s="69"/>
      <c r="G12" s="109"/>
    </row>
    <row r="13">
      <c r="A13" s="111"/>
      <c r="B13" s="67"/>
      <c r="C13" s="43"/>
      <c r="D13" s="69"/>
      <c r="E13" s="109"/>
      <c r="F13" s="69"/>
      <c r="G13" s="109"/>
    </row>
    <row r="14">
      <c r="A14" s="111"/>
      <c r="B14" s="67"/>
      <c r="C14" s="43"/>
      <c r="D14" s="69"/>
      <c r="E14" s="109"/>
      <c r="F14" s="43"/>
      <c r="G14" s="109"/>
    </row>
    <row r="15">
      <c r="A15" s="108"/>
      <c r="B15" s="67"/>
      <c r="C15" s="43"/>
      <c r="D15" s="43"/>
      <c r="E15" s="43"/>
      <c r="F15" s="43"/>
      <c r="G15" s="43"/>
    </row>
    <row r="16">
      <c r="A16" s="108"/>
      <c r="B16" s="67"/>
      <c r="C16" s="43"/>
      <c r="D16" s="43"/>
      <c r="E16" s="43"/>
      <c r="F16" s="43"/>
      <c r="G16" s="43"/>
    </row>
    <row r="17">
      <c r="A17" s="81"/>
      <c r="B17" s="82"/>
      <c r="C17" s="83"/>
      <c r="D17" s="83"/>
      <c r="E17" s="83"/>
      <c r="F17" s="83"/>
      <c r="G17" s="83"/>
    </row>
    <row r="18">
      <c r="A18" s="108"/>
      <c r="B18" s="67"/>
      <c r="C18" s="43"/>
      <c r="D18" s="43"/>
      <c r="E18" s="43"/>
      <c r="F18" s="43"/>
      <c r="G18" s="43"/>
    </row>
    <row r="19">
      <c r="A19" s="112"/>
      <c r="B19" s="113"/>
      <c r="G19" s="106"/>
    </row>
    <row r="20">
      <c r="A20" s="108"/>
      <c r="B20" s="114"/>
      <c r="G20" s="43"/>
    </row>
    <row r="21">
      <c r="A21" s="104"/>
      <c r="B21" s="105"/>
      <c r="G21" s="105"/>
    </row>
    <row r="22">
      <c r="A22" s="108"/>
      <c r="B22" s="114"/>
      <c r="G22" s="43"/>
    </row>
    <row r="23">
      <c r="A23" s="115"/>
      <c r="B23" s="116"/>
      <c r="G23" s="116"/>
    </row>
    <row r="24">
      <c r="A24" s="108"/>
      <c r="B24" s="114"/>
      <c r="G24" s="43"/>
    </row>
    <row r="25">
      <c r="A25" s="112"/>
      <c r="B25" s="113"/>
      <c r="C25" s="117"/>
      <c r="D25" s="117"/>
      <c r="E25" s="106"/>
      <c r="F25" s="117"/>
      <c r="G25" s="106"/>
    </row>
    <row r="26">
      <c r="A26" s="108"/>
      <c r="B26" s="114"/>
      <c r="C26" s="118"/>
      <c r="D26" s="118"/>
      <c r="E26" s="43"/>
      <c r="F26" s="118"/>
      <c r="G26" s="43"/>
    </row>
    <row r="27">
      <c r="A27" s="115"/>
      <c r="B27" s="116"/>
      <c r="C27" s="119"/>
      <c r="D27" s="120"/>
      <c r="E27" s="105"/>
      <c r="F27" s="120"/>
      <c r="G27" s="116"/>
    </row>
    <row r="28">
      <c r="A28" s="108"/>
      <c r="B28" s="114"/>
      <c r="C28" s="118"/>
      <c r="D28" s="121"/>
      <c r="E28" s="43"/>
      <c r="F28" s="121"/>
      <c r="G28" s="43"/>
    </row>
    <row r="29">
      <c r="A29" s="115"/>
      <c r="B29" s="116"/>
      <c r="C29" s="119"/>
      <c r="D29" s="120"/>
      <c r="E29" s="116"/>
      <c r="F29" s="120"/>
      <c r="G29" s="116"/>
    </row>
    <row r="30">
      <c r="A30" s="108"/>
      <c r="B30" s="114"/>
      <c r="C30" s="118"/>
      <c r="D30" s="121"/>
      <c r="E30" s="43"/>
      <c r="F30" s="121"/>
      <c r="G30" s="43"/>
    </row>
    <row r="31">
      <c r="A31" s="112"/>
      <c r="B31" s="113"/>
      <c r="C31" s="119"/>
      <c r="D31" s="117"/>
      <c r="E31" s="106"/>
      <c r="F31" s="117"/>
      <c r="G31" s="106"/>
    </row>
    <row r="32">
      <c r="A32" s="112"/>
      <c r="B32" s="113"/>
      <c r="C32" s="119"/>
      <c r="D32" s="117"/>
      <c r="E32" s="106"/>
      <c r="F32" s="117"/>
      <c r="G32" s="106"/>
    </row>
    <row r="33">
      <c r="A33" s="108"/>
      <c r="B33" s="114"/>
      <c r="C33" s="118"/>
      <c r="D33" s="118"/>
      <c r="E33" s="43"/>
      <c r="F33" s="118"/>
      <c r="G33" s="43"/>
    </row>
    <row r="34">
      <c r="A34" s="115"/>
      <c r="B34" s="116"/>
      <c r="C34" s="119"/>
      <c r="D34" s="120"/>
      <c r="E34" s="116"/>
      <c r="F34" s="120"/>
      <c r="G34" s="116"/>
    </row>
    <row r="35">
      <c r="A35" s="108"/>
      <c r="B35" s="114"/>
      <c r="C35" s="118"/>
      <c r="D35" s="121"/>
      <c r="E35" s="43"/>
      <c r="F35" s="121"/>
      <c r="G35" s="43"/>
    </row>
    <row r="36">
      <c r="A36" s="115"/>
      <c r="B36" s="116"/>
      <c r="C36" s="119"/>
      <c r="D36" s="120"/>
      <c r="E36" s="116"/>
      <c r="F36" s="120"/>
      <c r="G36" s="116"/>
    </row>
    <row r="37">
      <c r="A37" s="115"/>
      <c r="B37" s="116"/>
      <c r="C37" s="43"/>
      <c r="D37" s="69"/>
      <c r="E37" s="43"/>
      <c r="F37" s="69"/>
      <c r="G37" s="116"/>
    </row>
    <row r="38">
      <c r="A38" s="122"/>
      <c r="B38" s="123"/>
      <c r="C38" s="117"/>
      <c r="D38" s="117"/>
      <c r="E38" s="106"/>
      <c r="F38" s="117"/>
      <c r="G38" s="43"/>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4" t="s">
        <v>169</v>
      </c>
      <c r="C1" s="102" t="s">
        <v>170</v>
      </c>
      <c r="D1" s="103" t="s">
        <v>171</v>
      </c>
      <c r="E1" s="103" t="s">
        <v>172</v>
      </c>
      <c r="F1" s="103" t="s">
        <v>173</v>
      </c>
      <c r="G1" s="103" t="s">
        <v>174</v>
      </c>
    </row>
    <row r="2">
      <c r="A2" s="104"/>
      <c r="B2" s="106"/>
      <c r="C2" s="106"/>
      <c r="D2" s="106"/>
      <c r="E2" s="106"/>
      <c r="F2" s="106"/>
      <c r="G2" s="106"/>
    </row>
    <row r="3">
      <c r="A3" s="64" t="s">
        <v>175</v>
      </c>
      <c r="B3" s="66"/>
      <c r="C3" s="66"/>
      <c r="D3" s="66"/>
      <c r="E3" s="66"/>
      <c r="F3" s="66"/>
      <c r="G3" s="66"/>
    </row>
    <row r="4">
      <c r="A4" s="104"/>
      <c r="B4" s="106"/>
      <c r="C4" s="106"/>
      <c r="D4" s="106"/>
      <c r="E4" s="106"/>
      <c r="F4" s="106"/>
      <c r="G4" s="106"/>
    </row>
    <row r="5">
      <c r="A5" s="67" t="s">
        <v>176</v>
      </c>
      <c r="B5" s="43"/>
      <c r="C5" s="43"/>
      <c r="D5" s="69">
        <f>sum(D8:D17)</f>
        <v>135</v>
      </c>
      <c r="E5" s="69">
        <f>D5</f>
        <v>135</v>
      </c>
      <c r="F5" s="43"/>
      <c r="G5" s="43"/>
    </row>
    <row r="6">
      <c r="A6" s="104"/>
      <c r="B6" s="106"/>
      <c r="C6" s="106"/>
      <c r="D6" s="106"/>
      <c r="E6" s="106"/>
      <c r="F6" s="106"/>
      <c r="G6" s="106"/>
    </row>
    <row r="7">
      <c r="A7" s="70" t="s">
        <v>177</v>
      </c>
      <c r="B7" s="125"/>
      <c r="C7" s="72"/>
      <c r="D7" s="72"/>
      <c r="E7" s="72"/>
      <c r="F7" s="72"/>
      <c r="G7" s="72"/>
    </row>
    <row r="8">
      <c r="A8" s="104"/>
      <c r="B8" s="106"/>
      <c r="C8" s="106"/>
      <c r="D8" s="106"/>
      <c r="E8" s="107" t="s">
        <v>178</v>
      </c>
      <c r="F8" s="106"/>
      <c r="G8" s="107" t="s">
        <v>179</v>
      </c>
    </row>
    <row r="9">
      <c r="A9" s="126">
        <v>7.0</v>
      </c>
      <c r="B9" s="118" t="s">
        <v>210</v>
      </c>
      <c r="C9" s="43"/>
      <c r="D9" s="69">
        <f>SUM(D21:D26)</f>
        <v>15</v>
      </c>
      <c r="E9" s="69">
        <f>$D$5-D9</f>
        <v>120</v>
      </c>
      <c r="F9" s="69">
        <f>SUM(F21:F26)</f>
        <v>11</v>
      </c>
      <c r="G9" s="69">
        <f>$D$5-F9</f>
        <v>124</v>
      </c>
    </row>
    <row r="10">
      <c r="A10" s="127">
        <v>8.0</v>
      </c>
      <c r="B10" s="48" t="s">
        <v>211</v>
      </c>
      <c r="C10" s="106"/>
      <c r="D10" s="109">
        <f>SUM(D28:D31)</f>
        <v>19</v>
      </c>
      <c r="E10" s="109">
        <f t="shared" ref="E10:E15" si="1">E9-D10</f>
        <v>101</v>
      </c>
      <c r="F10" s="109">
        <f>SUM(F28:F31)</f>
        <v>19</v>
      </c>
      <c r="G10" s="109">
        <f t="shared" ref="G10:G15" si="2">G9-F10</f>
        <v>105</v>
      </c>
    </row>
    <row r="11">
      <c r="A11" s="108">
        <f>A10+1</f>
        <v>9</v>
      </c>
      <c r="B11" s="118" t="s">
        <v>212</v>
      </c>
      <c r="C11" s="43"/>
      <c r="D11" s="69">
        <f>SUM(D33:D37)</f>
        <v>21</v>
      </c>
      <c r="E11" s="109">
        <f t="shared" si="1"/>
        <v>80</v>
      </c>
      <c r="F11" s="69">
        <f>SUM(F33:F37)</f>
        <v>24</v>
      </c>
      <c r="G11" s="109">
        <f t="shared" si="2"/>
        <v>81</v>
      </c>
    </row>
    <row r="12">
      <c r="A12" s="127">
        <v>10.0</v>
      </c>
      <c r="B12" s="118" t="s">
        <v>213</v>
      </c>
      <c r="C12" s="106"/>
      <c r="D12" s="106">
        <f>SUM(D39:D46)</f>
        <v>24</v>
      </c>
      <c r="E12" s="109">
        <f t="shared" si="1"/>
        <v>56</v>
      </c>
      <c r="F12" s="69">
        <f>SUM(F39:F46)</f>
        <v>0</v>
      </c>
      <c r="G12" s="109">
        <f t="shared" si="2"/>
        <v>81</v>
      </c>
    </row>
    <row r="13">
      <c r="A13" s="126">
        <v>11.0</v>
      </c>
      <c r="B13" s="118" t="s">
        <v>214</v>
      </c>
      <c r="C13" s="43"/>
      <c r="D13" s="43">
        <f>SUM(D48:D56)</f>
        <v>23</v>
      </c>
      <c r="E13" s="109">
        <f t="shared" si="1"/>
        <v>33</v>
      </c>
      <c r="F13" s="69">
        <f>SUM(F48:F50)</f>
        <v>0</v>
      </c>
      <c r="G13" s="109">
        <f t="shared" si="2"/>
        <v>81</v>
      </c>
    </row>
    <row r="14">
      <c r="A14" s="127">
        <v>12.0</v>
      </c>
      <c r="B14" s="118" t="s">
        <v>215</v>
      </c>
      <c r="C14" s="43"/>
      <c r="D14" s="43">
        <f>SUM(D58:D62)</f>
        <v>18</v>
      </c>
      <c r="E14" s="109">
        <f t="shared" si="1"/>
        <v>15</v>
      </c>
      <c r="F14" s="69">
        <f t="shared" ref="F14:F15" si="3">sum(F38:F47)</f>
        <v>0</v>
      </c>
      <c r="G14" s="109">
        <f t="shared" si="2"/>
        <v>81</v>
      </c>
    </row>
    <row r="15">
      <c r="A15" s="126">
        <v>13.0</v>
      </c>
      <c r="B15" s="118" t="s">
        <v>216</v>
      </c>
      <c r="C15" s="43"/>
      <c r="D15" s="43">
        <f>SUM(D64:D68)</f>
        <v>15</v>
      </c>
      <c r="E15" s="109">
        <f t="shared" si="1"/>
        <v>0</v>
      </c>
      <c r="F15" s="69">
        <f t="shared" si="3"/>
        <v>0</v>
      </c>
      <c r="G15" s="109">
        <f t="shared" si="2"/>
        <v>81</v>
      </c>
    </row>
    <row r="16">
      <c r="A16" s="127"/>
      <c r="B16" s="43"/>
      <c r="C16" s="43"/>
      <c r="D16" s="43"/>
      <c r="E16" s="43"/>
      <c r="F16" s="43"/>
      <c r="G16" s="43"/>
    </row>
    <row r="17">
      <c r="A17" s="108"/>
      <c r="B17" s="43"/>
      <c r="C17" s="43"/>
      <c r="D17" s="43"/>
      <c r="E17" s="43"/>
      <c r="F17" s="43"/>
      <c r="G17" s="43"/>
    </row>
    <row r="18">
      <c r="A18" s="81" t="s">
        <v>180</v>
      </c>
      <c r="B18" s="82"/>
      <c r="C18" s="83"/>
      <c r="D18" s="83"/>
      <c r="E18" s="83"/>
      <c r="F18" s="83"/>
      <c r="G18" s="83"/>
    </row>
    <row r="19">
      <c r="A19" s="108"/>
      <c r="B19" s="43"/>
      <c r="C19" s="43"/>
      <c r="D19" s="43"/>
      <c r="E19" s="43"/>
      <c r="F19" s="43"/>
      <c r="G19" s="43"/>
    </row>
    <row r="20">
      <c r="A20" s="128">
        <f t="shared" ref="A20:B20" si="4">A9</f>
        <v>7</v>
      </c>
      <c r="B20" s="43" t="str">
        <f t="shared" si="4"/>
        <v>Enhance database functionality and logging</v>
      </c>
      <c r="C20" s="43"/>
      <c r="D20" s="43"/>
      <c r="E20" s="43"/>
      <c r="F20" s="43"/>
      <c r="G20" s="43"/>
    </row>
    <row r="21">
      <c r="A21" s="108"/>
      <c r="B21" s="114"/>
      <c r="C21" s="129" t="s">
        <v>217</v>
      </c>
      <c r="D21" s="129">
        <v>3.0</v>
      </c>
      <c r="E21" s="43"/>
      <c r="F21" s="129">
        <v>3.0</v>
      </c>
      <c r="G21" s="43"/>
    </row>
    <row r="22">
      <c r="A22" s="108"/>
      <c r="B22" s="114"/>
      <c r="C22" s="129" t="s">
        <v>218</v>
      </c>
      <c r="D22" s="129">
        <v>3.0</v>
      </c>
      <c r="E22" s="43"/>
      <c r="F22" s="129">
        <v>2.0</v>
      </c>
      <c r="G22" s="43"/>
    </row>
    <row r="23">
      <c r="A23" s="108"/>
      <c r="B23" s="114"/>
      <c r="C23" s="129" t="s">
        <v>219</v>
      </c>
      <c r="D23" s="129">
        <v>1.0</v>
      </c>
      <c r="E23" s="43"/>
      <c r="F23" s="129">
        <v>1.0</v>
      </c>
      <c r="G23" s="43"/>
    </row>
    <row r="24">
      <c r="A24" s="130"/>
      <c r="B24" s="35"/>
      <c r="C24" s="131" t="s">
        <v>220</v>
      </c>
      <c r="D24" s="132">
        <v>3.0</v>
      </c>
      <c r="E24" s="133"/>
      <c r="F24" s="129">
        <v>1.0</v>
      </c>
      <c r="G24" s="133"/>
    </row>
    <row r="25">
      <c r="A25" s="108"/>
      <c r="B25" s="43"/>
      <c r="C25" s="129" t="s">
        <v>221</v>
      </c>
      <c r="D25" s="132">
        <v>3.0</v>
      </c>
      <c r="E25" s="43"/>
      <c r="F25" s="129">
        <v>2.0</v>
      </c>
      <c r="G25" s="43"/>
    </row>
    <row r="26">
      <c r="A26" s="108"/>
      <c r="B26" s="43"/>
      <c r="C26" s="131" t="s">
        <v>222</v>
      </c>
      <c r="D26" s="132">
        <v>2.0</v>
      </c>
      <c r="E26" s="114"/>
      <c r="F26" s="129">
        <v>2.0</v>
      </c>
      <c r="G26" s="114"/>
    </row>
    <row r="27">
      <c r="A27" s="128">
        <f t="shared" ref="A27:B27" si="5">A10</f>
        <v>8</v>
      </c>
      <c r="B27" s="43" t="str">
        <f t="shared" si="5"/>
        <v>Integration Testing and Test Environment</v>
      </c>
      <c r="C27" s="43"/>
      <c r="D27" s="69"/>
      <c r="E27" s="43"/>
      <c r="F27" s="69"/>
      <c r="G27" s="43"/>
    </row>
    <row r="28">
      <c r="A28" s="134"/>
      <c r="B28" s="43"/>
      <c r="C28" s="118" t="s">
        <v>223</v>
      </c>
      <c r="D28" s="129">
        <v>8.0</v>
      </c>
      <c r="E28" s="43"/>
      <c r="F28" s="135">
        <v>8.0</v>
      </c>
      <c r="G28" s="43"/>
    </row>
    <row r="29">
      <c r="A29" s="108"/>
      <c r="B29" s="114"/>
      <c r="C29" s="136" t="s">
        <v>224</v>
      </c>
      <c r="D29" s="129">
        <v>5.0</v>
      </c>
      <c r="E29" s="43"/>
      <c r="F29" s="135">
        <v>5.0</v>
      </c>
      <c r="G29" s="43"/>
    </row>
    <row r="30">
      <c r="A30" s="108"/>
      <c r="B30" s="43"/>
      <c r="C30" s="137" t="s">
        <v>225</v>
      </c>
      <c r="D30" s="121">
        <v>3.0</v>
      </c>
      <c r="E30" s="114"/>
      <c r="F30" s="132">
        <v>3.0</v>
      </c>
      <c r="G30" s="114"/>
    </row>
    <row r="31">
      <c r="A31" s="108"/>
      <c r="B31" s="43"/>
      <c r="C31" s="137" t="s">
        <v>226</v>
      </c>
      <c r="D31" s="132">
        <v>3.0</v>
      </c>
      <c r="E31" s="114"/>
      <c r="F31" s="132">
        <v>3.0</v>
      </c>
      <c r="G31" s="114"/>
    </row>
    <row r="32">
      <c r="A32" s="111">
        <v>9.0</v>
      </c>
      <c r="B32" s="43" t="str">
        <f>B11</f>
        <v>Save device and application Logs in Database</v>
      </c>
      <c r="C32" s="43"/>
      <c r="D32" s="69"/>
      <c r="E32" s="43"/>
      <c r="F32" s="69"/>
      <c r="G32" s="43"/>
    </row>
    <row r="33">
      <c r="A33" s="111"/>
      <c r="B33" s="134"/>
      <c r="C33" s="137" t="s">
        <v>227</v>
      </c>
      <c r="D33" s="132">
        <v>2.0</v>
      </c>
      <c r="E33" s="114"/>
      <c r="F33" s="132">
        <v>3.0</v>
      </c>
      <c r="G33" s="114"/>
    </row>
    <row r="34">
      <c r="A34" s="126"/>
      <c r="B34" s="114"/>
      <c r="C34" s="118" t="s">
        <v>228</v>
      </c>
      <c r="D34" s="129">
        <v>5.0</v>
      </c>
      <c r="E34" s="43"/>
      <c r="F34" s="135">
        <v>8.0</v>
      </c>
      <c r="G34" s="43"/>
    </row>
    <row r="35">
      <c r="A35" s="126"/>
      <c r="B35" s="43"/>
      <c r="C35" s="137" t="s">
        <v>229</v>
      </c>
      <c r="D35" s="132">
        <v>3.0</v>
      </c>
      <c r="E35" s="114"/>
      <c r="F35" s="132">
        <v>3.0</v>
      </c>
      <c r="G35" s="114"/>
    </row>
    <row r="36">
      <c r="A36" s="126"/>
      <c r="B36" s="43"/>
      <c r="C36" s="131" t="s">
        <v>230</v>
      </c>
      <c r="D36" s="132">
        <v>8.0</v>
      </c>
      <c r="E36" s="114"/>
      <c r="F36" s="132">
        <v>5.0</v>
      </c>
      <c r="G36" s="114"/>
    </row>
    <row r="37">
      <c r="A37" s="126"/>
      <c r="B37" s="43"/>
      <c r="C37" s="131" t="s">
        <v>231</v>
      </c>
      <c r="D37" s="132">
        <v>3.0</v>
      </c>
      <c r="E37" s="114"/>
      <c r="F37" s="132">
        <v>5.0</v>
      </c>
      <c r="G37" s="114"/>
    </row>
    <row r="38">
      <c r="A38" s="126">
        <v>10.0</v>
      </c>
      <c r="B38" s="43" t="str">
        <f>B12</f>
        <v>Provide Logs and Streaming for Users</v>
      </c>
      <c r="C38" s="43"/>
      <c r="D38" s="69"/>
      <c r="E38" s="43"/>
      <c r="F38" s="138"/>
      <c r="G38" s="43"/>
    </row>
    <row r="39">
      <c r="A39" s="126"/>
      <c r="B39" s="43"/>
      <c r="C39" s="139" t="s">
        <v>232</v>
      </c>
      <c r="D39" s="132">
        <v>5.0</v>
      </c>
      <c r="E39" s="114"/>
      <c r="F39" s="114"/>
      <c r="G39" s="114"/>
    </row>
    <row r="40">
      <c r="A40" s="126"/>
      <c r="B40" s="43"/>
      <c r="C40" s="139" t="s">
        <v>233</v>
      </c>
      <c r="D40" s="132">
        <v>3.0</v>
      </c>
      <c r="E40" s="43"/>
      <c r="F40" s="43"/>
      <c r="G40" s="43"/>
    </row>
    <row r="41">
      <c r="A41" s="108"/>
      <c r="B41" s="43"/>
      <c r="C41" s="140" t="s">
        <v>234</v>
      </c>
      <c r="D41" s="132">
        <v>2.0</v>
      </c>
      <c r="E41" s="43"/>
      <c r="F41" s="43"/>
      <c r="G41" s="43"/>
    </row>
    <row r="42">
      <c r="A42" s="108"/>
      <c r="B42" s="43"/>
      <c r="C42" s="141" t="s">
        <v>235</v>
      </c>
      <c r="D42" s="132">
        <v>2.0</v>
      </c>
      <c r="E42" s="43"/>
      <c r="F42" s="43"/>
      <c r="G42" s="43"/>
    </row>
    <row r="43">
      <c r="A43" s="108"/>
      <c r="B43" s="43"/>
      <c r="C43" s="141" t="s">
        <v>236</v>
      </c>
      <c r="D43" s="132">
        <v>3.0</v>
      </c>
      <c r="E43" s="43"/>
      <c r="F43" s="43"/>
      <c r="G43" s="43"/>
    </row>
    <row r="44">
      <c r="A44" s="108"/>
      <c r="B44" s="43"/>
      <c r="C44" s="118" t="s">
        <v>237</v>
      </c>
      <c r="D44" s="132">
        <v>5.0</v>
      </c>
      <c r="E44" s="43"/>
      <c r="F44" s="43"/>
      <c r="G44" s="43"/>
    </row>
    <row r="45">
      <c r="A45" s="108"/>
      <c r="B45" s="43"/>
      <c r="C45" s="141" t="s">
        <v>238</v>
      </c>
      <c r="D45" s="132">
        <v>1.0</v>
      </c>
      <c r="E45" s="43"/>
      <c r="F45" s="43"/>
      <c r="G45" s="43"/>
    </row>
    <row r="46">
      <c r="A46" s="108"/>
      <c r="B46" s="43"/>
      <c r="C46" s="140" t="s">
        <v>239</v>
      </c>
      <c r="D46" s="132">
        <v>3.0</v>
      </c>
      <c r="E46" s="43"/>
      <c r="F46" s="43"/>
      <c r="G46" s="43"/>
    </row>
    <row r="47">
      <c r="A47" s="111">
        <v>11.0</v>
      </c>
      <c r="B47" s="43" t="str">
        <f>B13</f>
        <v>First Demo preperations</v>
      </c>
      <c r="C47" s="43"/>
      <c r="D47" s="43"/>
      <c r="E47" s="43"/>
      <c r="F47" s="43"/>
      <c r="G47" s="43"/>
    </row>
    <row r="48">
      <c r="A48" s="111"/>
      <c r="B48" s="43"/>
      <c r="C48" s="118" t="s">
        <v>240</v>
      </c>
      <c r="D48" s="129">
        <v>2.0</v>
      </c>
      <c r="E48" s="43"/>
      <c r="F48" s="43"/>
      <c r="G48" s="43"/>
    </row>
    <row r="49">
      <c r="A49" s="111"/>
      <c r="B49" s="129"/>
      <c r="C49" s="142" t="s">
        <v>241</v>
      </c>
      <c r="D49" s="129">
        <v>3.0</v>
      </c>
      <c r="E49" s="43"/>
      <c r="F49" s="43"/>
      <c r="G49" s="43"/>
    </row>
    <row r="50">
      <c r="A50" s="111"/>
      <c r="B50" s="43"/>
      <c r="C50" s="141" t="s">
        <v>242</v>
      </c>
      <c r="D50" s="129">
        <v>3.0</v>
      </c>
      <c r="E50" s="43"/>
      <c r="F50" s="43"/>
      <c r="G50" s="43"/>
    </row>
    <row r="51">
      <c r="A51" s="111"/>
      <c r="B51" s="43"/>
      <c r="C51" s="17" t="s">
        <v>243</v>
      </c>
      <c r="D51" s="129">
        <v>2.0</v>
      </c>
      <c r="E51" s="43"/>
      <c r="F51" s="43"/>
      <c r="G51" s="43"/>
    </row>
    <row r="52">
      <c r="A52" s="111"/>
      <c r="B52" s="43"/>
      <c r="C52" s="129" t="s">
        <v>244</v>
      </c>
      <c r="D52" s="129">
        <v>3.0</v>
      </c>
      <c r="E52" s="43"/>
      <c r="F52" s="43"/>
      <c r="G52" s="43"/>
    </row>
    <row r="53">
      <c r="A53" s="111"/>
      <c r="B53" s="43"/>
      <c r="C53" s="129" t="s">
        <v>245</v>
      </c>
      <c r="D53" s="129">
        <v>1.0</v>
      </c>
      <c r="E53" s="43"/>
      <c r="F53" s="43"/>
      <c r="G53" s="43"/>
    </row>
    <row r="54">
      <c r="A54" s="111"/>
      <c r="B54" s="43"/>
      <c r="C54" s="129" t="s">
        <v>246</v>
      </c>
      <c r="D54" s="129">
        <v>3.0</v>
      </c>
      <c r="E54" s="43"/>
      <c r="F54" s="43"/>
      <c r="G54" s="43"/>
    </row>
    <row r="55">
      <c r="A55" s="111"/>
      <c r="B55" s="43"/>
      <c r="C55" s="140" t="s">
        <v>247</v>
      </c>
      <c r="D55" s="129">
        <v>5.0</v>
      </c>
      <c r="E55" s="43"/>
      <c r="F55" s="43"/>
      <c r="G55" s="43"/>
    </row>
    <row r="56">
      <c r="A56" s="111"/>
      <c r="B56" s="43"/>
      <c r="C56" s="129" t="s">
        <v>248</v>
      </c>
      <c r="D56" s="129">
        <v>1.0</v>
      </c>
      <c r="E56" s="43"/>
      <c r="F56" s="43"/>
      <c r="G56" s="43"/>
    </row>
    <row r="57">
      <c r="A57" s="111">
        <v>12.0</v>
      </c>
      <c r="B57" s="43" t="str">
        <f>B14</f>
        <v>Finalize Project and Demo preperation</v>
      </c>
      <c r="C57" s="43"/>
      <c r="D57" s="43"/>
      <c r="E57" s="43"/>
      <c r="F57" s="43"/>
      <c r="G57" s="43"/>
    </row>
    <row r="58">
      <c r="A58" s="111"/>
      <c r="B58" s="43"/>
      <c r="C58" s="118" t="s">
        <v>249</v>
      </c>
      <c r="D58" s="118">
        <v>5.0</v>
      </c>
      <c r="E58" s="43"/>
      <c r="F58" s="43"/>
      <c r="G58" s="43"/>
    </row>
    <row r="59">
      <c r="A59" s="111"/>
      <c r="B59" s="43"/>
      <c r="C59" s="118" t="s">
        <v>250</v>
      </c>
      <c r="D59" s="129">
        <v>5.0</v>
      </c>
      <c r="E59" s="43"/>
      <c r="F59" s="43"/>
      <c r="G59" s="43"/>
    </row>
    <row r="60">
      <c r="A60" s="111"/>
      <c r="B60" s="43"/>
      <c r="C60" s="129" t="s">
        <v>251</v>
      </c>
      <c r="D60" s="129">
        <v>3.0</v>
      </c>
      <c r="E60" s="43"/>
      <c r="F60" s="43"/>
      <c r="G60" s="43"/>
    </row>
    <row r="61">
      <c r="A61" s="111"/>
      <c r="B61" s="43"/>
      <c r="C61" s="143" t="s">
        <v>252</v>
      </c>
      <c r="D61" s="129">
        <v>2.0</v>
      </c>
      <c r="E61" s="43"/>
      <c r="F61" s="43"/>
      <c r="G61" s="43"/>
    </row>
    <row r="62">
      <c r="A62" s="111"/>
      <c r="B62" s="43"/>
      <c r="C62" s="118" t="s">
        <v>253</v>
      </c>
      <c r="D62" s="118">
        <v>3.0</v>
      </c>
      <c r="E62" s="43"/>
      <c r="F62" s="43"/>
      <c r="G62" s="43"/>
    </row>
    <row r="63">
      <c r="A63" s="111">
        <v>13.0</v>
      </c>
      <c r="B63" s="43" t="str">
        <f>B15</f>
        <v>Prepare Handover</v>
      </c>
      <c r="C63" s="43"/>
      <c r="D63" s="43"/>
      <c r="E63" s="43"/>
      <c r="F63" s="43"/>
      <c r="G63" s="43"/>
    </row>
    <row r="64">
      <c r="A64" s="111"/>
      <c r="B64" s="43"/>
      <c r="C64" s="144" t="s">
        <v>254</v>
      </c>
      <c r="D64" s="118">
        <v>2.0</v>
      </c>
      <c r="E64" s="43"/>
      <c r="F64" s="43"/>
      <c r="G64" s="43"/>
    </row>
    <row r="65">
      <c r="A65" s="111"/>
      <c r="B65" s="43"/>
      <c r="C65" s="141" t="s">
        <v>255</v>
      </c>
      <c r="D65" s="129">
        <v>3.0</v>
      </c>
      <c r="E65" s="43"/>
      <c r="F65" s="43"/>
      <c r="G65" s="43"/>
    </row>
    <row r="66">
      <c r="A66" s="111"/>
      <c r="B66" s="43"/>
      <c r="C66" s="118" t="s">
        <v>256</v>
      </c>
      <c r="D66" s="118">
        <v>2.0</v>
      </c>
      <c r="E66" s="43"/>
      <c r="F66" s="43"/>
      <c r="G66" s="43"/>
    </row>
    <row r="67">
      <c r="A67" s="111"/>
      <c r="B67" s="43"/>
      <c r="C67" s="118" t="s">
        <v>257</v>
      </c>
      <c r="D67" s="129">
        <v>5.0</v>
      </c>
      <c r="E67" s="43"/>
      <c r="F67" s="43"/>
      <c r="G67" s="43"/>
    </row>
    <row r="68">
      <c r="A68" s="111"/>
      <c r="B68" s="43"/>
      <c r="C68" s="129" t="s">
        <v>258</v>
      </c>
      <c r="D68" s="129">
        <v>3.0</v>
      </c>
      <c r="E68" s="43"/>
      <c r="F68" s="43"/>
      <c r="G68" s="43"/>
    </row>
    <row r="69">
      <c r="A69" s="134"/>
      <c r="B69" s="134"/>
      <c r="C69" s="134"/>
      <c r="D69" s="134"/>
      <c r="E69" s="43"/>
      <c r="F69" s="43"/>
      <c r="G69" s="43"/>
    </row>
    <row r="70">
      <c r="A70" s="134"/>
      <c r="B70" s="134"/>
      <c r="C70" s="118"/>
      <c r="D70" s="121"/>
      <c r="E70" s="43"/>
      <c r="F70" s="43"/>
      <c r="G70" s="43"/>
    </row>
    <row r="71">
      <c r="A71" s="134"/>
      <c r="B71" s="134"/>
      <c r="C71" s="134"/>
      <c r="D71" s="118"/>
      <c r="E71" s="43"/>
      <c r="F71" s="43"/>
      <c r="G71" s="43"/>
    </row>
    <row r="72">
      <c r="A72" s="134"/>
      <c r="B72" s="134"/>
      <c r="C72" s="129"/>
      <c r="D72" s="145"/>
      <c r="E72" s="43"/>
      <c r="F72" s="43"/>
      <c r="G72" s="43"/>
    </row>
    <row r="73">
      <c r="A73" s="134"/>
      <c r="B73" s="134"/>
      <c r="C73" s="134"/>
      <c r="D73" s="145"/>
      <c r="E73" s="43"/>
      <c r="F73" s="43"/>
      <c r="G73" s="43"/>
    </row>
    <row r="74">
      <c r="A74" s="134"/>
      <c r="B74" s="134"/>
      <c r="C74" s="134"/>
      <c r="D74" s="145"/>
      <c r="E74" s="43"/>
      <c r="F74" s="43"/>
      <c r="G74" s="43"/>
    </row>
    <row r="75">
      <c r="A75" s="134"/>
      <c r="B75" s="134"/>
      <c r="C75" s="134"/>
      <c r="D75" s="145"/>
      <c r="E75" s="43"/>
      <c r="F75" s="43"/>
      <c r="G75" s="43"/>
    </row>
    <row r="76">
      <c r="A76" s="134"/>
      <c r="B76" s="134"/>
      <c r="D76" s="145"/>
      <c r="E76" s="43"/>
      <c r="F76" s="43"/>
      <c r="G76" s="43"/>
    </row>
    <row r="77">
      <c r="A77" s="134"/>
      <c r="B77" s="134"/>
      <c r="C77" s="134"/>
      <c r="D77" s="145"/>
      <c r="E77" s="43"/>
      <c r="F77" s="43"/>
      <c r="G77" s="43"/>
    </row>
    <row r="78">
      <c r="A78" s="134"/>
      <c r="B78" s="134"/>
      <c r="D78" s="145"/>
      <c r="E78" s="43"/>
      <c r="F78" s="43"/>
      <c r="G78" s="43"/>
    </row>
    <row r="79">
      <c r="A79" s="134"/>
      <c r="B79" s="134"/>
      <c r="C79" s="141"/>
      <c r="D79" s="145"/>
      <c r="E79" s="43"/>
      <c r="F79" s="43"/>
      <c r="G79" s="43"/>
    </row>
    <row r="80">
      <c r="A80" s="134"/>
      <c r="B80" s="134"/>
      <c r="D80" s="145"/>
      <c r="E80" s="43"/>
      <c r="F80" s="43"/>
      <c r="G80" s="43"/>
    </row>
    <row r="81">
      <c r="A81" s="134"/>
      <c r="B81" s="134"/>
      <c r="D81" s="145"/>
      <c r="E81" s="43"/>
      <c r="F81" s="43"/>
      <c r="G81" s="43"/>
    </row>
    <row r="82">
      <c r="A82" s="134"/>
      <c r="B82" s="134"/>
      <c r="D82" s="145"/>
      <c r="E82" s="43"/>
      <c r="F82" s="43"/>
      <c r="G82" s="43"/>
    </row>
    <row r="83">
      <c r="A83" s="134"/>
      <c r="B83" s="134"/>
      <c r="C83" s="140"/>
      <c r="D83" s="145"/>
      <c r="E83" s="43"/>
      <c r="F83" s="43"/>
      <c r="G83" s="4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4" t="s">
        <v>169</v>
      </c>
      <c r="C1" s="102" t="s">
        <v>170</v>
      </c>
      <c r="D1" s="103" t="s">
        <v>171</v>
      </c>
      <c r="E1" s="103" t="s">
        <v>172</v>
      </c>
      <c r="F1" s="103" t="s">
        <v>173</v>
      </c>
      <c r="G1" s="103" t="s">
        <v>174</v>
      </c>
    </row>
    <row r="2">
      <c r="A2" s="104"/>
      <c r="B2" s="106"/>
      <c r="C2" s="106"/>
      <c r="D2" s="106"/>
      <c r="E2" s="106"/>
      <c r="F2" s="106"/>
      <c r="G2" s="106"/>
    </row>
    <row r="3">
      <c r="A3" s="64"/>
      <c r="B3" s="66"/>
      <c r="C3" s="66"/>
      <c r="D3" s="66"/>
      <c r="E3" s="66"/>
      <c r="F3" s="66"/>
      <c r="G3" s="66"/>
    </row>
    <row r="4">
      <c r="A4" s="104"/>
      <c r="B4" s="106"/>
      <c r="C4" s="106"/>
      <c r="D4" s="106"/>
      <c r="E4" s="106"/>
      <c r="F4" s="106"/>
      <c r="G4" s="106"/>
    </row>
    <row r="5">
      <c r="A5" s="67"/>
      <c r="B5" s="43"/>
      <c r="C5" s="43"/>
      <c r="D5" s="69"/>
      <c r="E5" s="69"/>
      <c r="F5" s="43"/>
      <c r="G5" s="43"/>
    </row>
    <row r="6">
      <c r="A6" s="104"/>
      <c r="B6" s="106"/>
      <c r="C6" s="106"/>
      <c r="D6" s="106"/>
      <c r="E6" s="106"/>
      <c r="F6" s="106"/>
      <c r="G6" s="106"/>
    </row>
    <row r="7">
      <c r="A7" s="70"/>
      <c r="B7" s="125"/>
      <c r="C7" s="72"/>
      <c r="D7" s="72"/>
      <c r="E7" s="72"/>
      <c r="F7" s="72"/>
      <c r="G7" s="72"/>
    </row>
    <row r="8">
      <c r="A8" s="104"/>
      <c r="B8" s="106"/>
      <c r="C8" s="106"/>
      <c r="D8" s="106"/>
      <c r="E8" s="107"/>
      <c r="F8" s="106"/>
      <c r="G8" s="107"/>
    </row>
    <row r="9">
      <c r="A9" s="126"/>
      <c r="B9" s="43"/>
      <c r="C9" s="43"/>
      <c r="D9" s="69"/>
      <c r="E9" s="69"/>
      <c r="F9" s="69"/>
      <c r="G9" s="69"/>
    </row>
    <row r="10">
      <c r="A10" s="127"/>
      <c r="B10" s="43"/>
      <c r="C10" s="106"/>
      <c r="D10" s="109"/>
      <c r="E10" s="109"/>
      <c r="F10" s="109"/>
      <c r="G10" s="109"/>
    </row>
    <row r="11">
      <c r="A11" s="108"/>
      <c r="B11" s="43"/>
      <c r="C11" s="43"/>
      <c r="D11" s="69"/>
      <c r="E11" s="69"/>
      <c r="F11" s="69"/>
      <c r="G11" s="69"/>
    </row>
    <row r="12">
      <c r="A12" s="127"/>
      <c r="B12" s="43"/>
      <c r="C12" s="106"/>
      <c r="D12" s="106"/>
      <c r="E12" s="109"/>
      <c r="F12" s="106"/>
      <c r="G12" s="109"/>
    </row>
    <row r="13">
      <c r="A13" s="126"/>
      <c r="B13" s="43"/>
      <c r="C13" s="43"/>
      <c r="D13" s="43"/>
      <c r="E13" s="43"/>
      <c r="F13" s="43"/>
      <c r="G13" s="43"/>
    </row>
    <row r="14">
      <c r="A14" s="127"/>
      <c r="B14" s="43"/>
      <c r="C14" s="43"/>
      <c r="D14" s="43"/>
      <c r="E14" s="43"/>
      <c r="F14" s="43"/>
      <c r="G14" s="43"/>
    </row>
    <row r="15">
      <c r="A15" s="126"/>
      <c r="B15" s="43"/>
      <c r="C15" s="43"/>
      <c r="D15" s="43"/>
      <c r="E15" s="43"/>
      <c r="F15" s="43"/>
      <c r="G15" s="43"/>
    </row>
    <row r="16">
      <c r="A16" s="127"/>
      <c r="B16" s="43"/>
      <c r="C16" s="43"/>
      <c r="D16" s="43"/>
      <c r="E16" s="43"/>
      <c r="F16" s="43"/>
      <c r="G16" s="43"/>
    </row>
    <row r="17">
      <c r="A17" s="108"/>
      <c r="B17" s="43"/>
      <c r="C17" s="43"/>
      <c r="D17" s="43"/>
      <c r="E17" s="43"/>
      <c r="F17" s="43"/>
      <c r="G17" s="43"/>
    </row>
    <row r="18">
      <c r="A18" s="81"/>
      <c r="B18" s="82"/>
      <c r="C18" s="83"/>
      <c r="D18" s="83"/>
      <c r="E18" s="83"/>
      <c r="F18" s="83"/>
      <c r="G18" s="83"/>
    </row>
    <row r="19">
      <c r="A19" s="108"/>
      <c r="B19" s="43"/>
      <c r="C19" s="43"/>
      <c r="D19" s="43"/>
      <c r="E19" s="43"/>
      <c r="F19" s="43"/>
      <c r="G19" s="43"/>
    </row>
    <row r="20">
      <c r="A20" s="112"/>
      <c r="B20" s="106"/>
      <c r="C20" s="106"/>
      <c r="D20" s="106"/>
      <c r="E20" s="106"/>
      <c r="F20" s="106"/>
      <c r="G20" s="106"/>
    </row>
    <row r="21">
      <c r="A21" s="108"/>
      <c r="B21" s="114"/>
      <c r="C21" s="129"/>
      <c r="D21" s="129"/>
      <c r="E21" s="43"/>
      <c r="F21" s="118"/>
      <c r="G21" s="43"/>
    </row>
    <row r="22">
      <c r="A22" s="108"/>
      <c r="B22" s="114"/>
      <c r="C22" s="129"/>
      <c r="D22" s="129"/>
      <c r="E22" s="43"/>
      <c r="F22" s="118"/>
      <c r="G22" s="43"/>
    </row>
    <row r="23">
      <c r="A23" s="108"/>
      <c r="B23" s="114"/>
      <c r="C23" s="129"/>
      <c r="D23" s="129"/>
      <c r="E23" s="43"/>
      <c r="F23" s="118"/>
      <c r="G23" s="43"/>
    </row>
    <row r="24">
      <c r="A24" s="104"/>
      <c r="B24" s="146"/>
      <c r="C24" s="147"/>
      <c r="D24" s="148"/>
      <c r="E24" s="105"/>
      <c r="F24" s="118"/>
      <c r="G24" s="105"/>
    </row>
    <row r="25">
      <c r="A25" s="108"/>
      <c r="B25" s="43"/>
      <c r="C25" s="129"/>
      <c r="D25" s="132"/>
      <c r="E25" s="43"/>
      <c r="F25" s="118"/>
      <c r="G25" s="43"/>
    </row>
    <row r="26">
      <c r="A26" s="115"/>
      <c r="B26" s="106"/>
      <c r="C26" s="147"/>
      <c r="D26" s="148"/>
      <c r="E26" s="116"/>
      <c r="F26" s="118"/>
      <c r="G26" s="116"/>
    </row>
    <row r="27">
      <c r="A27" s="112"/>
      <c r="B27" s="43"/>
      <c r="C27" s="43"/>
      <c r="D27" s="69"/>
      <c r="E27" s="43"/>
      <c r="F27" s="69"/>
      <c r="G27" s="43"/>
    </row>
    <row r="28">
      <c r="B28" s="106"/>
      <c r="C28" s="106"/>
      <c r="D28" s="106"/>
      <c r="E28" s="106"/>
      <c r="F28" s="106"/>
      <c r="G28" s="106"/>
    </row>
    <row r="29">
      <c r="A29" s="108"/>
      <c r="B29" s="114"/>
      <c r="C29" s="43"/>
      <c r="D29" s="43"/>
      <c r="E29" s="43"/>
      <c r="F29" s="43"/>
      <c r="G29" s="43"/>
    </row>
    <row r="30">
      <c r="A30" s="115"/>
      <c r="B30" s="106"/>
      <c r="C30" s="116"/>
      <c r="D30" s="109"/>
      <c r="E30" s="116"/>
      <c r="F30" s="109"/>
      <c r="G30" s="116"/>
    </row>
    <row r="31">
      <c r="A31" s="108"/>
      <c r="B31" s="43"/>
      <c r="C31" s="43"/>
      <c r="D31" s="69"/>
      <c r="E31" s="43"/>
      <c r="F31" s="69"/>
      <c r="G31" s="43"/>
    </row>
    <row r="32">
      <c r="A32" s="115"/>
      <c r="B32" s="106"/>
      <c r="C32" s="116"/>
      <c r="D32" s="109"/>
      <c r="E32" s="116"/>
      <c r="F32" s="109"/>
      <c r="G32" s="116"/>
    </row>
    <row r="33">
      <c r="A33" s="108"/>
      <c r="B33" s="43"/>
      <c r="C33" s="43"/>
      <c r="D33" s="69"/>
      <c r="E33" s="43"/>
      <c r="F33" s="69"/>
      <c r="G33" s="43"/>
    </row>
    <row r="34">
      <c r="A34" s="112" t="str">
        <f>A11</f>
        <v/>
      </c>
      <c r="B34" s="106"/>
      <c r="C34" s="106"/>
      <c r="D34" s="106"/>
      <c r="E34" s="106"/>
      <c r="F34" s="106"/>
      <c r="G34" s="106"/>
    </row>
    <row r="35">
      <c r="A35" s="126">
        <v>10.0</v>
      </c>
      <c r="B35" s="114"/>
      <c r="C35" s="43"/>
      <c r="D35" s="43"/>
      <c r="E35" s="43"/>
      <c r="F35" s="43"/>
      <c r="G35" s="43"/>
    </row>
    <row r="36">
      <c r="A36" s="127">
        <v>11.0</v>
      </c>
      <c r="B36" s="106"/>
      <c r="C36" s="116"/>
      <c r="D36" s="109"/>
      <c r="E36" s="116"/>
      <c r="F36" s="116"/>
      <c r="G36" s="116"/>
    </row>
    <row r="37">
      <c r="A37" s="126">
        <v>12.0</v>
      </c>
      <c r="B37" s="43"/>
      <c r="C37" s="43"/>
      <c r="D37" s="69"/>
      <c r="E37" s="43"/>
      <c r="F37" s="43"/>
      <c r="G37" s="43"/>
    </row>
    <row r="38">
      <c r="A38" s="127">
        <v>13.0</v>
      </c>
      <c r="B38" s="106"/>
      <c r="C38" s="106"/>
      <c r="D38" s="109"/>
      <c r="E38" s="116"/>
      <c r="F38" s="116"/>
      <c r="G38" s="116"/>
    </row>
    <row r="39">
      <c r="A39" s="126">
        <v>14.0</v>
      </c>
      <c r="B39" s="43"/>
      <c r="C39" s="149"/>
      <c r="D39" s="69"/>
      <c r="E39" s="43"/>
      <c r="F39" s="43"/>
      <c r="G39" s="43"/>
    </row>
    <row r="40">
      <c r="A40" s="108"/>
      <c r="B40" s="43"/>
      <c r="C40" s="149"/>
      <c r="D40" s="69"/>
      <c r="E40" s="43"/>
      <c r="F40" s="43"/>
      <c r="G40" s="43"/>
    </row>
    <row r="41">
      <c r="A41" s="108"/>
      <c r="B41" s="43"/>
      <c r="C41" s="150" t="s">
        <v>209</v>
      </c>
      <c r="D41" s="69"/>
      <c r="E41" s="43"/>
      <c r="F41" s="43"/>
      <c r="G41" s="43"/>
    </row>
    <row r="42">
      <c r="A42" s="115"/>
      <c r="B42" s="106"/>
      <c r="C42" s="106"/>
      <c r="D42" s="106"/>
      <c r="E42" s="106"/>
      <c r="F42" s="106"/>
      <c r="G42" s="106"/>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51" t="s">
        <v>69</v>
      </c>
      <c r="B1" s="101" t="s">
        <v>259</v>
      </c>
      <c r="C1" s="101" t="s">
        <v>260</v>
      </c>
      <c r="D1" s="152" t="s">
        <v>261</v>
      </c>
    </row>
    <row r="2">
      <c r="A2" s="3"/>
      <c r="B2" s="48" t="s">
        <v>262</v>
      </c>
      <c r="C2" s="3"/>
      <c r="D2" s="3"/>
    </row>
    <row r="3">
      <c r="A3" s="3"/>
      <c r="B3" s="48" t="s">
        <v>263</v>
      </c>
      <c r="C3" s="3"/>
      <c r="D3" s="3"/>
    </row>
    <row r="4">
      <c r="A4" s="3"/>
      <c r="B4" s="48" t="s">
        <v>264</v>
      </c>
      <c r="C4" s="3"/>
      <c r="D4" s="3"/>
    </row>
    <row r="5">
      <c r="A5" s="3"/>
      <c r="B5" s="48" t="s">
        <v>265</v>
      </c>
      <c r="C5" s="3"/>
      <c r="D5" s="3"/>
    </row>
    <row r="6">
      <c r="A6" s="3"/>
      <c r="B6" s="48" t="s">
        <v>266</v>
      </c>
      <c r="C6" s="3"/>
      <c r="D6" s="3"/>
    </row>
    <row r="7">
      <c r="A7" s="3"/>
      <c r="B7" s="48" t="s">
        <v>267</v>
      </c>
      <c r="C7" s="3"/>
      <c r="D7" s="3"/>
    </row>
    <row r="8">
      <c r="A8" s="3"/>
      <c r="B8" s="17" t="s">
        <v>268</v>
      </c>
      <c r="C8" s="3"/>
      <c r="D8" s="3"/>
    </row>
    <row r="9">
      <c r="A9" s="3"/>
      <c r="B9" s="48" t="s">
        <v>269</v>
      </c>
      <c r="C9" s="3"/>
      <c r="D9" s="3"/>
    </row>
    <row r="10">
      <c r="A10" s="3"/>
      <c r="B10" s="17" t="s">
        <v>270</v>
      </c>
      <c r="C10" s="3"/>
      <c r="D10" s="3"/>
    </row>
    <row r="11">
      <c r="A11" s="3"/>
      <c r="B11" s="48" t="s">
        <v>271</v>
      </c>
      <c r="C11" s="3"/>
      <c r="D11" s="3"/>
    </row>
    <row r="12">
      <c r="A12" s="3"/>
      <c r="B12" s="48" t="s">
        <v>272</v>
      </c>
      <c r="C12" s="3"/>
      <c r="D12" s="3"/>
    </row>
    <row r="13">
      <c r="A13" s="3"/>
      <c r="B13" s="48" t="s">
        <v>273</v>
      </c>
      <c r="C13" s="3"/>
      <c r="D13" s="3"/>
    </row>
    <row r="14">
      <c r="A14" s="3"/>
      <c r="C14" s="2" t="s">
        <v>274</v>
      </c>
      <c r="D14" s="3"/>
    </row>
    <row r="15">
      <c r="A15" s="3"/>
      <c r="B15" s="153"/>
      <c r="C15" s="2" t="s">
        <v>275</v>
      </c>
      <c r="D15" s="3"/>
    </row>
    <row r="16">
      <c r="A16" s="3"/>
      <c r="B16" s="48"/>
      <c r="C16" s="2" t="s">
        <v>276</v>
      </c>
      <c r="D16" s="3"/>
    </row>
    <row r="17">
      <c r="A17" s="3"/>
      <c r="B17" s="153"/>
      <c r="D17" s="17" t="s">
        <v>277</v>
      </c>
    </row>
    <row r="18">
      <c r="A18" s="3"/>
      <c r="B18" s="48"/>
      <c r="D18" s="2" t="s">
        <v>278</v>
      </c>
    </row>
    <row r="19">
      <c r="A19" s="3"/>
      <c r="B19" s="153"/>
      <c r="C19" s="2"/>
      <c r="D19" s="17" t="s">
        <v>279</v>
      </c>
    </row>
    <row r="20">
      <c r="A20" s="3"/>
      <c r="B20" s="48"/>
      <c r="D20" s="2" t="s">
        <v>280</v>
      </c>
    </row>
    <row r="21">
      <c r="A21" s="3"/>
      <c r="B21" s="153"/>
      <c r="D21" s="2" t="s">
        <v>281</v>
      </c>
    </row>
    <row r="22">
      <c r="A22" s="3"/>
      <c r="B22" s="48"/>
      <c r="D22" s="17" t="s">
        <v>282</v>
      </c>
    </row>
    <row r="23">
      <c r="A23" s="3"/>
      <c r="B23" s="48"/>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283</v>
      </c>
      <c r="B1" s="4" t="s">
        <v>284</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54" t="str">
        <f>'Project Team'!A1</f>
        <v>Last Name</v>
      </c>
      <c r="B1" s="154" t="str">
        <f>'Project Team'!B1</f>
        <v>First Name</v>
      </c>
      <c r="C1" s="155" t="s">
        <v>285</v>
      </c>
      <c r="D1" s="156"/>
      <c r="E1" s="157"/>
      <c r="F1" s="158"/>
      <c r="G1" s="159"/>
      <c r="H1" s="159"/>
    </row>
    <row r="2">
      <c r="A2" s="160" t="str">
        <f>'Project Team'!A2</f>
        <v>Auer</v>
      </c>
      <c r="B2" s="160" t="str">
        <f>'Project Team'!B2</f>
        <v>Katharina</v>
      </c>
      <c r="C2" s="161">
        <v>0.0</v>
      </c>
      <c r="D2" s="162"/>
      <c r="E2" s="163">
        <f>average(C2:C10)</f>
        <v>0</v>
      </c>
      <c r="F2" s="164" t="str">
        <f>if(stdev(C2:C7) &gt; 0,"NOK", "OK")</f>
        <v>OK</v>
      </c>
      <c r="G2" s="165"/>
      <c r="H2" s="165"/>
    </row>
    <row r="3">
      <c r="A3" s="166" t="str">
        <f t="shared" ref="A3:B3" si="1">#REF!</f>
        <v>#REF!</v>
      </c>
      <c r="B3" s="166" t="str">
        <f t="shared" si="1"/>
        <v>#REF!</v>
      </c>
      <c r="C3" s="161">
        <v>0.0</v>
      </c>
      <c r="D3" s="167"/>
      <c r="G3" s="168"/>
      <c r="H3" s="168"/>
    </row>
    <row r="4">
      <c r="A4" s="160" t="str">
        <f t="shared" ref="A4:B4" si="2">#REF!</f>
        <v>#REF!</v>
      </c>
      <c r="B4" s="160" t="str">
        <f t="shared" si="2"/>
        <v>#REF!</v>
      </c>
      <c r="C4" s="169"/>
      <c r="D4" s="162"/>
      <c r="G4" s="165"/>
      <c r="H4" s="165"/>
    </row>
    <row r="5">
      <c r="A5" s="166" t="str">
        <f t="shared" ref="A5:B5" si="3">#REF!</f>
        <v>#REF!</v>
      </c>
      <c r="B5" s="166" t="str">
        <f t="shared" si="3"/>
        <v>#REF!</v>
      </c>
      <c r="C5" s="170"/>
      <c r="D5" s="171"/>
      <c r="E5" s="171"/>
      <c r="F5" s="171"/>
      <c r="G5" s="168"/>
      <c r="H5" s="168"/>
    </row>
    <row r="6">
      <c r="A6" s="160" t="str">
        <f t="shared" ref="A6:B6" si="4">#REF!</f>
        <v>#REF!</v>
      </c>
      <c r="B6" s="160" t="str">
        <f t="shared" si="4"/>
        <v>#REF!</v>
      </c>
      <c r="C6" s="169"/>
      <c r="D6" s="172"/>
      <c r="E6" s="173">
        <v>0.0</v>
      </c>
      <c r="F6" s="174" t="s">
        <v>286</v>
      </c>
      <c r="G6" s="165"/>
      <c r="H6" s="165"/>
    </row>
    <row r="7">
      <c r="A7" s="166" t="str">
        <f t="shared" ref="A7:B7" si="5">#REF!</f>
        <v>#REF!</v>
      </c>
      <c r="B7" s="166" t="str">
        <f t="shared" si="5"/>
        <v>#REF!</v>
      </c>
      <c r="C7" s="169"/>
      <c r="D7" s="171"/>
      <c r="E7" s="173">
        <v>1.0</v>
      </c>
      <c r="F7" s="174" t="s">
        <v>287</v>
      </c>
      <c r="G7" s="168"/>
      <c r="H7" s="168"/>
    </row>
    <row r="8">
      <c r="A8" s="160" t="str">
        <f t="shared" ref="A8:B8" si="6">#REF!</f>
        <v>#REF!</v>
      </c>
      <c r="B8" s="160" t="str">
        <f t="shared" si="6"/>
        <v>#REF!</v>
      </c>
      <c r="C8" s="170"/>
      <c r="D8" s="172"/>
      <c r="E8" s="173">
        <v>2.0</v>
      </c>
      <c r="F8" s="174" t="s">
        <v>288</v>
      </c>
      <c r="G8" s="165"/>
      <c r="H8" s="165"/>
    </row>
    <row r="9">
      <c r="A9" s="166" t="str">
        <f t="shared" ref="A9:B9" si="7">#REF!</f>
        <v>#REF!</v>
      </c>
      <c r="B9" s="166" t="str">
        <f t="shared" si="7"/>
        <v>#REF!</v>
      </c>
      <c r="C9" s="170"/>
      <c r="D9" s="171"/>
      <c r="E9" s="173">
        <v>3.0</v>
      </c>
      <c r="F9" s="174" t="s">
        <v>289</v>
      </c>
      <c r="G9" s="168"/>
      <c r="H9" s="168"/>
    </row>
    <row r="10">
      <c r="A10" s="160" t="str">
        <f t="shared" ref="A10:B10" si="8">#REF!</f>
        <v>#REF!</v>
      </c>
      <c r="B10" s="160" t="str">
        <f t="shared" si="8"/>
        <v>#REF!</v>
      </c>
      <c r="C10" s="170"/>
      <c r="D10" s="172"/>
      <c r="E10" s="173">
        <v>5.0</v>
      </c>
      <c r="F10" s="174" t="s">
        <v>290</v>
      </c>
      <c r="G10" s="165"/>
      <c r="H10" s="165"/>
    </row>
    <row r="11">
      <c r="A11" s="166"/>
      <c r="B11" s="166"/>
      <c r="C11" s="169"/>
      <c r="D11" s="171"/>
      <c r="E11" s="173">
        <v>8.0</v>
      </c>
      <c r="F11" s="174" t="s">
        <v>291</v>
      </c>
      <c r="G11" s="168"/>
      <c r="H11" s="168"/>
    </row>
    <row r="12">
      <c r="A12" s="160"/>
      <c r="B12" s="160"/>
      <c r="C12" s="169"/>
      <c r="D12" s="172"/>
      <c r="E12" s="173">
        <v>13.0</v>
      </c>
      <c r="F12" s="174" t="s">
        <v>292</v>
      </c>
      <c r="G12" s="165"/>
      <c r="H12" s="165"/>
    </row>
    <row r="13">
      <c r="A13" s="166"/>
      <c r="B13" s="166"/>
      <c r="C13" s="171"/>
      <c r="D13" s="171"/>
      <c r="E13" s="171"/>
      <c r="F13" s="171"/>
      <c r="G13" s="168"/>
      <c r="H13" s="168"/>
    </row>
    <row r="14">
      <c r="A14" s="175" t="s">
        <v>293</v>
      </c>
      <c r="B14" s="176"/>
      <c r="C14" s="176"/>
      <c r="D14" s="176"/>
      <c r="E14" s="176"/>
      <c r="F14" s="176"/>
      <c r="G14" s="176"/>
      <c r="H14" s="176"/>
    </row>
    <row r="15">
      <c r="A15" s="68"/>
      <c r="B15" s="68"/>
      <c r="C15" s="68"/>
      <c r="D15" s="68"/>
      <c r="E15" s="68"/>
      <c r="F15" s="68"/>
      <c r="G15" s="68"/>
      <c r="H15" s="68"/>
    </row>
    <row r="16">
      <c r="A16" s="177" t="s">
        <v>294</v>
      </c>
      <c r="B16" s="178"/>
      <c r="C16" s="178"/>
      <c r="D16" s="178"/>
      <c r="E16" s="178"/>
      <c r="F16" s="178"/>
      <c r="G16" s="178"/>
      <c r="H16" s="178"/>
    </row>
    <row r="17">
      <c r="A17" s="179" t="s">
        <v>295</v>
      </c>
      <c r="B17" s="68"/>
      <c r="C17" s="68"/>
      <c r="D17" s="68"/>
      <c r="E17" s="68"/>
      <c r="F17" s="68"/>
      <c r="G17" s="68"/>
      <c r="H17" s="68"/>
    </row>
    <row r="18">
      <c r="A18" s="177" t="s">
        <v>296</v>
      </c>
      <c r="B18" s="178"/>
      <c r="C18" s="178"/>
      <c r="D18" s="178"/>
      <c r="E18" s="178"/>
      <c r="F18" s="178"/>
      <c r="G18" s="178"/>
      <c r="H18" s="178"/>
    </row>
    <row r="19">
      <c r="A19" s="68"/>
      <c r="B19" s="68"/>
      <c r="C19" s="68"/>
      <c r="D19" s="68"/>
      <c r="E19" s="68"/>
      <c r="F19" s="68"/>
      <c r="G19" s="68"/>
      <c r="H19" s="68"/>
    </row>
    <row r="20">
      <c r="A20" s="178"/>
      <c r="B20" s="178"/>
      <c r="C20" s="178"/>
      <c r="D20" s="178"/>
      <c r="E20" s="178"/>
      <c r="F20" s="178"/>
      <c r="G20" s="178"/>
      <c r="H20" s="178"/>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38"/>
    <col customWidth="1" min="2" max="2" width="27.88"/>
    <col customWidth="1" min="3" max="3" width="37.63"/>
    <col customWidth="1" min="4" max="4" width="16.38"/>
    <col customWidth="1" min="5" max="5" width="20.0"/>
    <col customWidth="1" min="6" max="6" width="37.63"/>
  </cols>
  <sheetData>
    <row r="1">
      <c r="A1" s="14" t="s">
        <v>69</v>
      </c>
      <c r="B1" s="4" t="s">
        <v>297</v>
      </c>
      <c r="C1" s="4" t="s">
        <v>298</v>
      </c>
      <c r="D1" s="4" t="s">
        <v>299</v>
      </c>
      <c r="E1" s="4" t="s">
        <v>300</v>
      </c>
      <c r="F1" s="4" t="s">
        <v>76</v>
      </c>
    </row>
    <row r="2">
      <c r="A2" s="2">
        <v>1.0</v>
      </c>
      <c r="B2" s="17" t="s">
        <v>301</v>
      </c>
      <c r="C2" s="17" t="s">
        <v>302</v>
      </c>
      <c r="D2" s="54">
        <v>44.0</v>
      </c>
      <c r="E2" s="2" t="s">
        <v>303</v>
      </c>
      <c r="F2" s="3"/>
    </row>
    <row r="3">
      <c r="A3" s="2">
        <v>2.0</v>
      </c>
      <c r="B3" s="17" t="s">
        <v>304</v>
      </c>
      <c r="C3" s="17" t="s">
        <v>305</v>
      </c>
      <c r="D3" s="2" t="s">
        <v>306</v>
      </c>
      <c r="E3" s="2" t="s">
        <v>307</v>
      </c>
      <c r="F3" s="3"/>
    </row>
    <row r="4">
      <c r="A4" s="2">
        <v>3.0</v>
      </c>
      <c r="B4" s="2" t="s">
        <v>308</v>
      </c>
      <c r="C4" s="2" t="s">
        <v>309</v>
      </c>
      <c r="D4" s="2" t="s">
        <v>306</v>
      </c>
      <c r="E4" s="2" t="s">
        <v>307</v>
      </c>
      <c r="F4" s="3"/>
    </row>
    <row r="5">
      <c r="A5" s="2">
        <v>4.0</v>
      </c>
      <c r="B5" s="2" t="s">
        <v>310</v>
      </c>
      <c r="C5" s="2" t="s">
        <v>311</v>
      </c>
      <c r="D5" s="2" t="s">
        <v>306</v>
      </c>
      <c r="E5" s="2" t="s">
        <v>307</v>
      </c>
      <c r="F5" s="3"/>
    </row>
    <row r="6">
      <c r="A6" s="2">
        <v>5.0</v>
      </c>
      <c r="B6" s="2" t="s">
        <v>312</v>
      </c>
      <c r="C6" s="2" t="s">
        <v>313</v>
      </c>
      <c r="D6" s="2" t="s">
        <v>306</v>
      </c>
      <c r="E6" s="2" t="s">
        <v>307</v>
      </c>
      <c r="F6" s="3"/>
    </row>
    <row r="7">
      <c r="A7" s="2">
        <v>6.0</v>
      </c>
      <c r="B7" s="2" t="s">
        <v>314</v>
      </c>
      <c r="C7" s="2" t="s">
        <v>315</v>
      </c>
      <c r="D7" s="2" t="s">
        <v>316</v>
      </c>
      <c r="E7" s="2" t="s">
        <v>307</v>
      </c>
      <c r="F7" s="3"/>
    </row>
    <row r="8">
      <c r="A8" s="2">
        <v>7.0</v>
      </c>
      <c r="B8" s="2" t="s">
        <v>317</v>
      </c>
      <c r="C8" s="2" t="s">
        <v>318</v>
      </c>
      <c r="D8" s="2" t="s">
        <v>319</v>
      </c>
      <c r="E8" s="2" t="s">
        <v>319</v>
      </c>
      <c r="F8" s="3"/>
    </row>
    <row r="9">
      <c r="A9" s="2">
        <v>8.0</v>
      </c>
      <c r="B9" s="2" t="s">
        <v>320</v>
      </c>
      <c r="C9" s="2" t="s">
        <v>321</v>
      </c>
      <c r="D9" s="2" t="s">
        <v>319</v>
      </c>
      <c r="E9" s="2" t="s">
        <v>319</v>
      </c>
      <c r="F9" s="3"/>
    </row>
    <row r="10">
      <c r="A10" s="2">
        <v>9.0</v>
      </c>
      <c r="B10" s="2" t="s">
        <v>322</v>
      </c>
      <c r="C10" s="2" t="s">
        <v>323</v>
      </c>
      <c r="D10" s="2" t="s">
        <v>319</v>
      </c>
      <c r="E10" s="2" t="s">
        <v>319</v>
      </c>
      <c r="F10" s="3"/>
    </row>
    <row r="11">
      <c r="A11" s="2">
        <v>11.0</v>
      </c>
      <c r="B11" s="2" t="s">
        <v>324</v>
      </c>
      <c r="C11" s="2" t="s">
        <v>325</v>
      </c>
      <c r="D11" s="2" t="s">
        <v>78</v>
      </c>
      <c r="E11" s="2" t="s">
        <v>78</v>
      </c>
      <c r="F11" s="3"/>
    </row>
    <row r="12">
      <c r="A12" s="2">
        <v>12.0</v>
      </c>
      <c r="B12" s="2" t="s">
        <v>326</v>
      </c>
      <c r="C12" s="2" t="s">
        <v>327</v>
      </c>
      <c r="D12" s="2" t="s">
        <v>328</v>
      </c>
      <c r="E12" s="2" t="s">
        <v>307</v>
      </c>
      <c r="F12" s="9" t="s">
        <v>329</v>
      </c>
    </row>
    <row r="13">
      <c r="A13" s="2">
        <v>13.0</v>
      </c>
      <c r="B13" s="2" t="s">
        <v>326</v>
      </c>
      <c r="C13" s="2" t="s">
        <v>330</v>
      </c>
      <c r="D13" s="54" t="s">
        <v>331</v>
      </c>
      <c r="E13" s="2" t="s">
        <v>307</v>
      </c>
      <c r="F13" s="5" t="s">
        <v>332</v>
      </c>
    </row>
    <row r="14">
      <c r="A14" s="2">
        <v>14.0</v>
      </c>
      <c r="B14" s="2" t="s">
        <v>326</v>
      </c>
      <c r="C14" s="2" t="s">
        <v>333</v>
      </c>
      <c r="D14" s="2" t="s">
        <v>334</v>
      </c>
      <c r="E14" s="2" t="s">
        <v>307</v>
      </c>
      <c r="F14" s="5" t="s">
        <v>335</v>
      </c>
    </row>
    <row r="15">
      <c r="A15" s="2">
        <v>15.0</v>
      </c>
      <c r="B15" s="2" t="s">
        <v>326</v>
      </c>
      <c r="C15" s="2" t="s">
        <v>336</v>
      </c>
      <c r="D15" s="2" t="s">
        <v>337</v>
      </c>
      <c r="E15" s="2" t="s">
        <v>307</v>
      </c>
      <c r="F15" s="5" t="s">
        <v>338</v>
      </c>
    </row>
    <row r="16">
      <c r="A16" s="2">
        <v>16.0</v>
      </c>
      <c r="B16" s="2" t="s">
        <v>326</v>
      </c>
      <c r="C16" s="2" t="s">
        <v>339</v>
      </c>
      <c r="D16" s="2" t="s">
        <v>340</v>
      </c>
      <c r="E16" s="2" t="s">
        <v>303</v>
      </c>
      <c r="F16" s="5" t="s">
        <v>341</v>
      </c>
    </row>
    <row r="17">
      <c r="A17" s="2">
        <v>17.0</v>
      </c>
      <c r="B17" s="2" t="s">
        <v>326</v>
      </c>
      <c r="C17" s="2" t="s">
        <v>342</v>
      </c>
      <c r="D17" s="2" t="s">
        <v>343</v>
      </c>
      <c r="E17" s="2" t="s">
        <v>307</v>
      </c>
      <c r="F17" s="9" t="s">
        <v>344</v>
      </c>
    </row>
    <row r="18">
      <c r="A18" s="2">
        <v>18.0</v>
      </c>
      <c r="B18" s="2" t="s">
        <v>326</v>
      </c>
      <c r="C18" s="2" t="s">
        <v>345</v>
      </c>
      <c r="D18" s="2" t="s">
        <v>346</v>
      </c>
      <c r="E18" s="2" t="s">
        <v>307</v>
      </c>
      <c r="F18" s="9" t="s">
        <v>347</v>
      </c>
    </row>
    <row r="19">
      <c r="A19" s="2">
        <v>19.0</v>
      </c>
      <c r="B19" s="2" t="s">
        <v>326</v>
      </c>
      <c r="C19" s="2" t="s">
        <v>348</v>
      </c>
      <c r="D19" s="2" t="s">
        <v>349</v>
      </c>
      <c r="E19" s="2" t="s">
        <v>307</v>
      </c>
      <c r="F19" s="9" t="s">
        <v>350</v>
      </c>
    </row>
    <row r="20">
      <c r="A20" s="2">
        <v>20.0</v>
      </c>
      <c r="B20" s="2" t="s">
        <v>326</v>
      </c>
      <c r="C20" s="2" t="s">
        <v>351</v>
      </c>
      <c r="D20" s="54">
        <v>0.22</v>
      </c>
      <c r="E20" s="2" t="s">
        <v>307</v>
      </c>
      <c r="F20" s="9" t="s">
        <v>352</v>
      </c>
    </row>
    <row r="21">
      <c r="A21" s="2">
        <v>21.0</v>
      </c>
      <c r="B21" s="2" t="s">
        <v>326</v>
      </c>
      <c r="C21" s="2" t="s">
        <v>353</v>
      </c>
      <c r="D21" s="54">
        <v>1.0</v>
      </c>
      <c r="E21" s="2" t="s">
        <v>307</v>
      </c>
      <c r="F21" s="9" t="s">
        <v>354</v>
      </c>
    </row>
    <row r="22">
      <c r="A22" s="2">
        <v>22.0</v>
      </c>
      <c r="B22" s="2" t="s">
        <v>326</v>
      </c>
      <c r="C22" s="2" t="s">
        <v>355</v>
      </c>
      <c r="D22" s="54" t="s">
        <v>356</v>
      </c>
      <c r="E22" s="2" t="s">
        <v>357</v>
      </c>
      <c r="F22" s="9" t="s">
        <v>358</v>
      </c>
    </row>
    <row r="23">
      <c r="A23" s="2">
        <v>23.0</v>
      </c>
      <c r="B23" s="2" t="s">
        <v>326</v>
      </c>
      <c r="C23" s="2" t="s">
        <v>359</v>
      </c>
      <c r="D23" s="54" t="s">
        <v>360</v>
      </c>
      <c r="E23" s="2" t="s">
        <v>307</v>
      </c>
      <c r="F23" s="9" t="s">
        <v>361</v>
      </c>
    </row>
    <row r="24">
      <c r="A24" s="2">
        <v>24.0</v>
      </c>
      <c r="B24" s="2" t="s">
        <v>326</v>
      </c>
      <c r="C24" s="2" t="s">
        <v>362</v>
      </c>
      <c r="D24" s="54">
        <v>0.1</v>
      </c>
      <c r="E24" s="2" t="s">
        <v>307</v>
      </c>
      <c r="F24" s="3"/>
    </row>
    <row r="25">
      <c r="A25" s="2">
        <v>25.0</v>
      </c>
      <c r="B25" s="2" t="s">
        <v>326</v>
      </c>
      <c r="C25" s="2" t="s">
        <v>363</v>
      </c>
      <c r="D25" s="54" t="s">
        <v>364</v>
      </c>
      <c r="E25" s="2" t="s">
        <v>303</v>
      </c>
      <c r="F25" s="9" t="s">
        <v>365</v>
      </c>
    </row>
    <row r="26">
      <c r="A26" s="2">
        <v>26.0</v>
      </c>
      <c r="B26" s="2" t="s">
        <v>326</v>
      </c>
      <c r="C26" s="2" t="s">
        <v>366</v>
      </c>
      <c r="D26" s="54" t="s">
        <v>367</v>
      </c>
      <c r="E26" s="2" t="s">
        <v>307</v>
      </c>
      <c r="F26" s="9" t="s">
        <v>368</v>
      </c>
    </row>
    <row r="27">
      <c r="A27" s="2">
        <v>27.0</v>
      </c>
      <c r="B27" s="2" t="s">
        <v>326</v>
      </c>
      <c r="C27" s="2" t="s">
        <v>369</v>
      </c>
      <c r="D27" s="54" t="s">
        <v>370</v>
      </c>
      <c r="E27" s="2" t="s">
        <v>303</v>
      </c>
      <c r="F27" s="9" t="s">
        <v>371</v>
      </c>
    </row>
    <row r="28">
      <c r="A28" s="2">
        <v>28.0</v>
      </c>
      <c r="B28" s="2" t="s">
        <v>326</v>
      </c>
      <c r="C28" s="17" t="s">
        <v>372</v>
      </c>
      <c r="D28" s="180" t="s">
        <v>373</v>
      </c>
      <c r="E28" s="2" t="s">
        <v>374</v>
      </c>
      <c r="F28" s="9" t="s">
        <v>375</v>
      </c>
    </row>
    <row r="29">
      <c r="A29" s="3"/>
      <c r="B29" s="3"/>
      <c r="C29" s="2"/>
      <c r="D29" s="55"/>
      <c r="E29" s="3"/>
      <c r="F29" s="3"/>
    </row>
    <row r="30">
      <c r="A30" s="3"/>
      <c r="B30" s="3"/>
      <c r="C30" s="2"/>
      <c r="D30" s="55"/>
      <c r="E30" s="3"/>
      <c r="F30" s="3"/>
    </row>
    <row r="31">
      <c r="A31" s="3"/>
      <c r="B31" s="3"/>
      <c r="C31" s="2"/>
      <c r="D31" s="55"/>
      <c r="E31" s="3"/>
      <c r="F31" s="3"/>
    </row>
    <row r="32">
      <c r="A32" s="3"/>
      <c r="B32" s="3"/>
      <c r="C32" s="2"/>
      <c r="D32" s="55"/>
      <c r="E32" s="3"/>
      <c r="F32" s="3"/>
    </row>
    <row r="33">
      <c r="A33" s="3"/>
      <c r="B33" s="3"/>
      <c r="C33" s="2"/>
      <c r="D33" s="55"/>
      <c r="E33" s="3"/>
      <c r="F33" s="3"/>
    </row>
    <row r="34">
      <c r="A34" s="3"/>
      <c r="B34" s="3"/>
      <c r="C34" s="2"/>
      <c r="D34" s="55"/>
      <c r="E34" s="3"/>
      <c r="F34" s="3"/>
    </row>
    <row r="35">
      <c r="A35" s="3"/>
      <c r="B35" s="3"/>
      <c r="C35" s="2"/>
      <c r="D35" s="55"/>
      <c r="E35" s="3"/>
      <c r="F35" s="3"/>
    </row>
    <row r="36">
      <c r="A36" s="3"/>
      <c r="B36" s="3"/>
      <c r="C36" s="2"/>
      <c r="D36" s="55"/>
      <c r="E36" s="3"/>
      <c r="F36" s="3"/>
    </row>
    <row r="37">
      <c r="A37" s="3"/>
      <c r="B37" s="3"/>
      <c r="C37" s="2"/>
      <c r="D37" s="55"/>
      <c r="E37" s="3"/>
      <c r="F37" s="3"/>
    </row>
    <row r="38">
      <c r="A38" s="3"/>
      <c r="B38" s="3"/>
      <c r="C38" s="2"/>
      <c r="D38" s="55"/>
      <c r="E38" s="3"/>
      <c r="F38" s="3"/>
    </row>
    <row r="39">
      <c r="A39" s="3"/>
      <c r="B39" s="3"/>
      <c r="C39" s="2"/>
      <c r="D39" s="55"/>
      <c r="E39" s="3"/>
      <c r="F39" s="3"/>
    </row>
    <row r="40">
      <c r="A40" s="3"/>
      <c r="B40" s="3"/>
      <c r="C40" s="2"/>
      <c r="D40" s="55"/>
      <c r="E40" s="3"/>
      <c r="F40" s="3"/>
    </row>
    <row r="41">
      <c r="A41" s="3"/>
      <c r="B41" s="3"/>
      <c r="C41" s="2"/>
      <c r="D41" s="55"/>
      <c r="E41" s="3"/>
      <c r="F41" s="3"/>
    </row>
    <row r="42">
      <c r="A42" s="3"/>
      <c r="B42" s="3"/>
      <c r="C42" s="2"/>
      <c r="D42" s="55"/>
      <c r="E42" s="3"/>
      <c r="F42" s="3"/>
    </row>
    <row r="43">
      <c r="A43" s="3"/>
      <c r="B43" s="3"/>
      <c r="C43" s="2"/>
      <c r="D43" s="55"/>
      <c r="E43" s="3"/>
      <c r="F43" s="3"/>
    </row>
    <row r="44">
      <c r="A44" s="3"/>
      <c r="B44" s="3"/>
      <c r="C44" s="2"/>
      <c r="D44" s="55"/>
      <c r="E44" s="3"/>
      <c r="F44" s="3"/>
    </row>
    <row r="45">
      <c r="A45" s="3"/>
      <c r="B45" s="3"/>
      <c r="C45" s="2"/>
      <c r="D45" s="55"/>
      <c r="E45" s="3"/>
      <c r="F45" s="3"/>
    </row>
    <row r="46">
      <c r="A46" s="3"/>
      <c r="B46" s="3"/>
      <c r="C46" s="2"/>
      <c r="D46" s="55"/>
      <c r="E46" s="3"/>
      <c r="F46" s="3"/>
    </row>
    <row r="47">
      <c r="A47" s="3"/>
      <c r="B47" s="3"/>
      <c r="C47" s="2"/>
      <c r="D47" s="55"/>
      <c r="E47" s="3"/>
      <c r="F47" s="3"/>
    </row>
    <row r="48">
      <c r="A48" s="3"/>
      <c r="B48" s="3"/>
      <c r="C48" s="2"/>
      <c r="D48" s="55"/>
      <c r="E48" s="3"/>
      <c r="F48" s="3"/>
    </row>
  </sheetData>
  <hyperlinks>
    <hyperlink r:id="rId1" ref="F12"/>
    <hyperlink r:id="rId2" ref="F13"/>
    <hyperlink r:id="rId3" ref="F14"/>
    <hyperlink r:id="rId4" ref="F15"/>
    <hyperlink r:id="rId5" ref="F16"/>
    <hyperlink r:id="rId6" ref="F17"/>
    <hyperlink r:id="rId7" ref="F18"/>
    <hyperlink r:id="rId8" ref="F19"/>
    <hyperlink r:id="rId9" ref="F20"/>
    <hyperlink r:id="rId10" ref="F21"/>
    <hyperlink r:id="rId11" ref="F22"/>
    <hyperlink r:id="rId12" ref="F23"/>
    <hyperlink r:id="rId13" ref="F25"/>
    <hyperlink r:id="rId14" ref="F26"/>
    <hyperlink r:id="rId15" ref="F27"/>
    <hyperlink r:id="rId16" ref="F28"/>
  </hyperlinks>
  <drawing r:id="rId17"/>
  <tableParts count="1">
    <tablePart r:id="rId19"/>
  </tableParts>
</worksheet>
</file>